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ch/Documents/PROJECT EXPANSION/Personal Projet porfolio/"/>
    </mc:Choice>
  </mc:AlternateContent>
  <xr:revisionPtr revIDLastSave="0" documentId="8_{D68061CB-80B8-7E42-95F0-38FCE7656D40}" xr6:coauthVersionLast="47" xr6:coauthVersionMax="47" xr10:uidLastSave="{00000000-0000-0000-0000-000000000000}"/>
  <bookViews>
    <workbookView xWindow="0" yWindow="660" windowWidth="29400" windowHeight="18460" xr2:uid="{A02CFF85-0CE3-4488-A447-ECC1646C77D5}"/>
  </bookViews>
  <sheets>
    <sheet name="DCF" sheetId="1" r:id="rId1"/>
    <sheet name="WACC" sheetId="5" r:id="rId2"/>
    <sheet name="Shares" sheetId="6" r:id="rId3"/>
    <sheet name="IS - Estimates" sheetId="9" r:id="rId4"/>
    <sheet name="IS - Annual" sheetId="2" r:id="rId5"/>
    <sheet name="IS - Quarterly" sheetId="3" r:id="rId6"/>
    <sheet name="CFS - Estimates" sheetId="10" r:id="rId7"/>
    <sheet name="CFS - Annual" sheetId="7" r:id="rId8"/>
    <sheet name="CFS - Quarterly" sheetId="8" r:id="rId9"/>
  </sheets>
  <definedNames>
    <definedName name="dr">DCF!$E$18</definedName>
    <definedName name="_xlnm.Print_Area" localSheetId="0">DCF!$BJ$7</definedName>
    <definedName name="tg">DCF!$E$19</definedName>
    <definedName name="tGR">DCF!$E$19</definedName>
    <definedName name="WACC">DCF!$E$18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B58" i="2"/>
  <c r="E29" i="1"/>
  <c r="E22" i="1" l="1"/>
  <c r="P82" i="1"/>
  <c r="P80" i="1"/>
  <c r="P79" i="1"/>
  <c r="E18" i="1"/>
  <c r="N72" i="1"/>
  <c r="O72" i="1" s="1"/>
  <c r="P72" i="1" s="1"/>
  <c r="M72" i="1"/>
  <c r="L72" i="1"/>
  <c r="K72" i="1"/>
  <c r="K73" i="1"/>
  <c r="E7" i="6"/>
  <c r="E19" i="1"/>
  <c r="F67" i="1"/>
  <c r="G67" i="1"/>
  <c r="H67" i="1"/>
  <c r="I67" i="1"/>
  <c r="K67" i="1" s="1"/>
  <c r="J67" i="1"/>
  <c r="L64" i="1"/>
  <c r="M64" i="1" s="1"/>
  <c r="K64" i="1"/>
  <c r="L61" i="1"/>
  <c r="M61" i="1" s="1"/>
  <c r="K61" i="1"/>
  <c r="F64" i="1"/>
  <c r="G64" i="1"/>
  <c r="H64" i="1"/>
  <c r="I64" i="1"/>
  <c r="J64" i="1"/>
  <c r="F61" i="1"/>
  <c r="G61" i="1"/>
  <c r="H61" i="1"/>
  <c r="I61" i="1"/>
  <c r="J61" i="1"/>
  <c r="J66" i="1"/>
  <c r="I66" i="1"/>
  <c r="H66" i="1"/>
  <c r="G66" i="1"/>
  <c r="F66" i="1"/>
  <c r="E66" i="1"/>
  <c r="J63" i="1"/>
  <c r="I63" i="1"/>
  <c r="H63" i="1"/>
  <c r="G63" i="1"/>
  <c r="F63" i="1"/>
  <c r="E63" i="1"/>
  <c r="I60" i="1"/>
  <c r="J60" i="1"/>
  <c r="E60" i="1"/>
  <c r="P53" i="1"/>
  <c r="P52" i="1"/>
  <c r="P51" i="1"/>
  <c r="L14" i="1"/>
  <c r="Q14" i="1" s="1"/>
  <c r="L13" i="1"/>
  <c r="N13" i="1"/>
  <c r="S13" i="1" s="1"/>
  <c r="E44" i="1"/>
  <c r="E40" i="1"/>
  <c r="F38" i="1"/>
  <c r="G38" i="1"/>
  <c r="H38" i="1"/>
  <c r="I38" i="1"/>
  <c r="J38" i="1"/>
  <c r="E38" i="1"/>
  <c r="F35" i="1"/>
  <c r="G35" i="1"/>
  <c r="H35" i="1"/>
  <c r="I35" i="1"/>
  <c r="J35" i="1"/>
  <c r="E35" i="1"/>
  <c r="F32" i="1"/>
  <c r="F60" i="1" s="1"/>
  <c r="G32" i="1"/>
  <c r="G60" i="1" s="1"/>
  <c r="H32" i="1"/>
  <c r="H33" i="1" s="1"/>
  <c r="I32" i="1"/>
  <c r="J32" i="1"/>
  <c r="E32" i="1"/>
  <c r="F31" i="1"/>
  <c r="G31" i="1" s="1"/>
  <c r="H31" i="1" s="1"/>
  <c r="I31" i="1" s="1"/>
  <c r="J31" i="1" s="1"/>
  <c r="F28" i="1"/>
  <c r="F29" i="1" s="1"/>
  <c r="F56" i="1" s="1"/>
  <c r="G28" i="1"/>
  <c r="G29" i="1" s="1"/>
  <c r="G56" i="1" s="1"/>
  <c r="H28" i="1"/>
  <c r="H29" i="1" s="1"/>
  <c r="H56" i="1" s="1"/>
  <c r="I28" i="1"/>
  <c r="I29" i="1" s="1"/>
  <c r="I56" i="1" s="1"/>
  <c r="J28" i="1"/>
  <c r="J29" i="1" s="1"/>
  <c r="J56" i="1" s="1"/>
  <c r="E28" i="1"/>
  <c r="E56" i="1" s="1"/>
  <c r="F22" i="1"/>
  <c r="G22" i="1"/>
  <c r="G43" i="1" s="1"/>
  <c r="H22" i="1"/>
  <c r="H43" i="1" s="1"/>
  <c r="I22" i="1"/>
  <c r="I23" i="1" s="1"/>
  <c r="I44" i="1" s="1"/>
  <c r="J22" i="1"/>
  <c r="L25" i="1"/>
  <c r="M25" i="1"/>
  <c r="K25" i="1"/>
  <c r="F25" i="1"/>
  <c r="G25" i="1"/>
  <c r="G49" i="1" s="1"/>
  <c r="H25" i="1"/>
  <c r="H26" i="1" s="1"/>
  <c r="H50" i="1" s="1"/>
  <c r="I25" i="1"/>
  <c r="I26" i="1" s="1"/>
  <c r="I50" i="1" s="1"/>
  <c r="J25" i="1"/>
  <c r="J49" i="1" s="1"/>
  <c r="E25" i="1"/>
  <c r="L22" i="1"/>
  <c r="M22" i="1"/>
  <c r="K22" i="1"/>
  <c r="E43" i="1"/>
  <c r="F42" i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L56" i="1" s="1"/>
  <c r="M56" i="1" s="1"/>
  <c r="N56" i="1" s="1"/>
  <c r="O56" i="1" s="1"/>
  <c r="F21" i="1"/>
  <c r="G21" i="1" s="1"/>
  <c r="H21" i="1" s="1"/>
  <c r="I21" i="1" s="1"/>
  <c r="J21" i="1" s="1"/>
  <c r="K21" i="1" s="1"/>
  <c r="L21" i="1" s="1"/>
  <c r="M21" i="1" s="1"/>
  <c r="L67" i="1" l="1"/>
  <c r="N67" i="1" s="1"/>
  <c r="M67" i="1"/>
  <c r="O67" i="1" s="1"/>
  <c r="P67" i="1"/>
  <c r="N64" i="1"/>
  <c r="N61" i="1"/>
  <c r="J23" i="1"/>
  <c r="J44" i="1" s="1"/>
  <c r="K26" i="1"/>
  <c r="K52" i="1" s="1"/>
  <c r="K51" i="1" s="1"/>
  <c r="H60" i="1"/>
  <c r="J36" i="1"/>
  <c r="H36" i="1"/>
  <c r="H39" i="1"/>
  <c r="K53" i="1"/>
  <c r="L53" i="1" s="1"/>
  <c r="M53" i="1" s="1"/>
  <c r="N53" i="1" s="1"/>
  <c r="O53" i="1" s="1"/>
  <c r="L52" i="1"/>
  <c r="M52" i="1" s="1"/>
  <c r="N52" i="1" s="1"/>
  <c r="O52" i="1" s="1"/>
  <c r="F23" i="1"/>
  <c r="F44" i="1" s="1"/>
  <c r="E33" i="1"/>
  <c r="E61" i="1" s="1"/>
  <c r="G36" i="1"/>
  <c r="E26" i="1"/>
  <c r="E50" i="1" s="1"/>
  <c r="F26" i="1"/>
  <c r="F50" i="1" s="1"/>
  <c r="E39" i="1"/>
  <c r="E67" i="1" s="1"/>
  <c r="J55" i="1"/>
  <c r="H55" i="1"/>
  <c r="M26" i="1"/>
  <c r="E55" i="1"/>
  <c r="I49" i="1"/>
  <c r="G55" i="1"/>
  <c r="F49" i="1"/>
  <c r="L26" i="1"/>
  <c r="I55" i="1"/>
  <c r="H23" i="1"/>
  <c r="H44" i="1" s="1"/>
  <c r="E36" i="1"/>
  <c r="E64" i="1" s="1"/>
  <c r="H49" i="1"/>
  <c r="F55" i="1"/>
  <c r="I36" i="1"/>
  <c r="G39" i="1"/>
  <c r="I43" i="1"/>
  <c r="E49" i="1"/>
  <c r="F43" i="1"/>
  <c r="M23" i="1"/>
  <c r="G26" i="1"/>
  <c r="G50" i="1" s="1"/>
  <c r="J39" i="1"/>
  <c r="L23" i="1"/>
  <c r="L46" i="1" s="1"/>
  <c r="I39" i="1"/>
  <c r="J43" i="1"/>
  <c r="I40" i="1"/>
  <c r="H40" i="1"/>
  <c r="F39" i="1"/>
  <c r="F36" i="1"/>
  <c r="J40" i="1"/>
  <c r="G33" i="1"/>
  <c r="G40" i="1"/>
  <c r="J26" i="1"/>
  <c r="J50" i="1" s="1"/>
  <c r="G23" i="1"/>
  <c r="G44" i="1" s="1"/>
  <c r="F33" i="1"/>
  <c r="J33" i="1"/>
  <c r="I33" i="1"/>
  <c r="K23" i="1"/>
  <c r="E30" i="6"/>
  <c r="E29" i="6"/>
  <c r="E28" i="6"/>
  <c r="E27" i="6"/>
  <c r="E26" i="6"/>
  <c r="E25" i="6"/>
  <c r="E24" i="6"/>
  <c r="E23" i="6"/>
  <c r="E22" i="6"/>
  <c r="B22" i="6"/>
  <c r="B23" i="6" s="1"/>
  <c r="B24" i="6" s="1"/>
  <c r="B25" i="6" s="1"/>
  <c r="B26" i="6" s="1"/>
  <c r="B27" i="6" s="1"/>
  <c r="B28" i="6" s="1"/>
  <c r="B29" i="6" s="1"/>
  <c r="B30" i="6" s="1"/>
  <c r="E21" i="6"/>
  <c r="F10" i="5"/>
  <c r="F20" i="5"/>
  <c r="F16" i="5" s="1"/>
  <c r="E9" i="6" l="1"/>
  <c r="E10" i="6" s="1"/>
  <c r="O64" i="1"/>
  <c r="P64" i="1" s="1"/>
  <c r="O61" i="1"/>
  <c r="P61" i="1" s="1"/>
  <c r="L51" i="1"/>
  <c r="L45" i="1"/>
  <c r="L47" i="1"/>
  <c r="M47" i="1" s="1"/>
  <c r="N47" i="1" s="1"/>
  <c r="O47" i="1" s="1"/>
  <c r="P47" i="1" s="1"/>
  <c r="M46" i="1"/>
  <c r="N46" i="1" s="1"/>
  <c r="O46" i="1" s="1"/>
  <c r="P46" i="1" s="1"/>
  <c r="K45" i="1"/>
  <c r="K47" i="1"/>
  <c r="K46" i="1"/>
  <c r="E32" i="6"/>
  <c r="E8" i="6" s="1"/>
  <c r="F9" i="5"/>
  <c r="F22" i="5" s="1"/>
  <c r="M51" i="1" l="1"/>
  <c r="M45" i="1"/>
  <c r="E11" i="6"/>
  <c r="E16" i="6" s="1"/>
  <c r="N51" i="1" l="1"/>
  <c r="N45" i="1"/>
  <c r="O51" i="1" l="1"/>
  <c r="O45" i="1"/>
  <c r="P45" i="1" l="1"/>
  <c r="P44" i="1" l="1"/>
  <c r="O44" i="1"/>
  <c r="N44" i="1"/>
  <c r="K44" i="1"/>
  <c r="K43" i="1" s="1"/>
  <c r="M44" i="1"/>
  <c r="L44" i="1"/>
  <c r="L43" i="1" l="1"/>
  <c r="L63" i="1" s="1"/>
  <c r="K66" i="1"/>
  <c r="K63" i="1"/>
  <c r="K60" i="1"/>
  <c r="M43" i="1" l="1"/>
  <c r="N43" i="1" s="1"/>
  <c r="L60" i="1"/>
  <c r="L66" i="1"/>
  <c r="M60" i="1" l="1"/>
  <c r="M63" i="1"/>
  <c r="M66" i="1"/>
  <c r="O43" i="1"/>
  <c r="N66" i="1"/>
  <c r="N63" i="1"/>
  <c r="N60" i="1"/>
  <c r="O63" i="1" l="1"/>
  <c r="P43" i="1"/>
  <c r="O60" i="1"/>
  <c r="O66" i="1"/>
  <c r="P60" i="1" l="1"/>
  <c r="P66" i="1"/>
  <c r="P63" i="1"/>
  <c r="O50" i="1"/>
  <c r="O49" i="1" s="1"/>
  <c r="O55" i="1" s="1"/>
  <c r="N50" i="1"/>
  <c r="N49" i="1" s="1"/>
  <c r="P50" i="1"/>
  <c r="P49" i="1" s="1"/>
  <c r="L50" i="1"/>
  <c r="L49" i="1" s="1"/>
  <c r="K50" i="1"/>
  <c r="K49" i="1" s="1"/>
  <c r="M50" i="1"/>
  <c r="M49" i="1" s="1"/>
  <c r="N55" i="1" l="1"/>
  <c r="N58" i="1" s="1"/>
  <c r="N69" i="1" s="1"/>
  <c r="N70" i="1" s="1"/>
  <c r="K55" i="1"/>
  <c r="L55" i="1"/>
  <c r="L58" i="1" s="1"/>
  <c r="L69" i="1" s="1"/>
  <c r="L70" i="1" s="1"/>
  <c r="P55" i="1"/>
  <c r="P58" i="1" s="1"/>
  <c r="P69" i="1" s="1"/>
  <c r="O58" i="1"/>
  <c r="O69" i="1" s="1"/>
  <c r="O70" i="1" s="1"/>
  <c r="M55" i="1"/>
  <c r="M58" i="1" s="1"/>
  <c r="M69" i="1" s="1"/>
  <c r="M70" i="1" s="1"/>
  <c r="K58" i="1" l="1"/>
  <c r="K69" i="1" s="1"/>
  <c r="K70" i="1" s="1"/>
  <c r="P75" i="1"/>
  <c r="P76" i="1" s="1"/>
  <c r="P70" i="1"/>
  <c r="P78" i="1" l="1"/>
  <c r="P81" i="1" s="1"/>
  <c r="P83" i="1" s="1"/>
  <c r="H5" i="1" s="1"/>
  <c r="H6" i="1" s="1"/>
</calcChain>
</file>

<file path=xl/sharedStrings.xml><?xml version="1.0" encoding="utf-8"?>
<sst xmlns="http://schemas.openxmlformats.org/spreadsheetml/2006/main" count="394" uniqueCount="204">
  <si>
    <t>All figures in millions of U.S. Dollar except per share items.</t>
  </si>
  <si>
    <t>Depreciation &amp; Amortization Expense</t>
  </si>
  <si>
    <t>EBIT</t>
  </si>
  <si>
    <t>EBITDA</t>
  </si>
  <si>
    <t>Earnings Persistence</t>
  </si>
  <si>
    <t>Total Shares Outstanding</t>
  </si>
  <si>
    <t>Diluted Shares Outstanding</t>
  </si>
  <si>
    <t>EPS (diluted)</t>
  </si>
  <si>
    <t>Basic Shares Outstanding</t>
  </si>
  <si>
    <t>EPS (basic)</t>
  </si>
  <si>
    <t>EPS (recurring)</t>
  </si>
  <si>
    <t>Per Share</t>
  </si>
  <si>
    <t>Net Income available to Common</t>
  </si>
  <si>
    <t>Preferred Dividends</t>
  </si>
  <si>
    <t>Net Income</t>
  </si>
  <si>
    <t>Minority Interest</t>
  </si>
  <si>
    <t>Consolidated Net Income</t>
  </si>
  <si>
    <t>Other After Tax Adjustments</t>
  </si>
  <si>
    <t>Income Taxes - Deferred Foreign</t>
  </si>
  <si>
    <t>Income Taxes - Deferred Domestic</t>
  </si>
  <si>
    <t>Income Taxes - Current Foreign</t>
  </si>
  <si>
    <t>Income Taxes - Current Domestic</t>
  </si>
  <si>
    <t>Income Taxes</t>
  </si>
  <si>
    <t>Pretax Income</t>
  </si>
  <si>
    <t>Hedges/Derivatives</t>
  </si>
  <si>
    <t>Investments</t>
  </si>
  <si>
    <t>Unrealized Valuation Gain/Loss</t>
  </si>
  <si>
    <t>Restructuring Expense</t>
  </si>
  <si>
    <t>Unusual Expense - Net</t>
  </si>
  <si>
    <t>Gross Interest Expense</t>
  </si>
  <si>
    <t>Interest Expense</t>
  </si>
  <si>
    <t>Other Income (Expense)</t>
  </si>
  <si>
    <t>Nonoperating Interest Income</t>
  </si>
  <si>
    <t>Nonoperating Income - Net</t>
  </si>
  <si>
    <t>EBIT (Operating Income)</t>
  </si>
  <si>
    <t>Other SG&amp;A</t>
  </si>
  <si>
    <t>Research &amp; Development</t>
  </si>
  <si>
    <t>SG&amp;A Expense</t>
  </si>
  <si>
    <t>Gross Income</t>
  </si>
  <si>
    <t>Amortization of Intangibles</t>
  </si>
  <si>
    <t>Depreciation</t>
  </si>
  <si>
    <t>COGS excluding D&amp;A</t>
  </si>
  <si>
    <t>Cost of Goods Sold (COGS) incl. D&amp;A</t>
  </si>
  <si>
    <t>Sales</t>
  </si>
  <si>
    <t>LTM</t>
  </si>
  <si>
    <t>SEP '24</t>
  </si>
  <si>
    <t>DEC '23</t>
  </si>
  <si>
    <t>DEC '22</t>
  </si>
  <si>
    <t>DEC '21</t>
  </si>
  <si>
    <t>DEC '20</t>
  </si>
  <si>
    <t>DEC '19</t>
  </si>
  <si>
    <t>DEC '18</t>
  </si>
  <si>
    <t>Source: FactSet Fundamentals</t>
  </si>
  <si>
    <t xml:space="preserve">PLTR   69608A108   BN78DQ4   NASDAQ    Common stock    </t>
  </si>
  <si>
    <t>Palantir Technologies Inc. Class A</t>
  </si>
  <si>
    <t>$68.92</t>
  </si>
  <si>
    <t>Palantir Technologies Inc. Class A (PLTR)</t>
  </si>
  <si>
    <t>JUN '24</t>
  </si>
  <si>
    <t>MAR '24</t>
  </si>
  <si>
    <t>SEP '23</t>
  </si>
  <si>
    <t>JUN '23</t>
  </si>
  <si>
    <t>MAR '23</t>
  </si>
  <si>
    <t>SEP '22</t>
  </si>
  <si>
    <t>JUN '22</t>
  </si>
  <si>
    <t>$68.95</t>
  </si>
  <si>
    <t>WACC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</si>
  <si>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</si>
  <si>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</si>
  <si>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</si>
  <si>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</si>
  <si>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</si>
  <si>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</si>
  <si>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</si>
  <si>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</si>
  <si>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</si>
  <si>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</si>
  <si>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</si>
  <si>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Tax Rate</t>
  </si>
  <si>
    <t>Total</t>
  </si>
  <si>
    <t>Diluted Share Count Calculation</t>
  </si>
  <si>
    <t>Full Diluted Shares</t>
  </si>
  <si>
    <t>Current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</si>
  <si>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</si>
  <si>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</si>
  <si>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</si>
  <si>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</si>
  <si>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</si>
  <si>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>RSUs</t>
  </si>
  <si>
    <t>PSUs</t>
  </si>
  <si>
    <t>Net diluted shares outstanding</t>
  </si>
  <si>
    <t>Options outstanding</t>
  </si>
  <si>
    <t>Outstanding</t>
  </si>
  <si>
    <t>Exercise price</t>
  </si>
  <si>
    <t>Dilutive Shares</t>
  </si>
  <si>
    <t>Free Cash Flow Yield (%)</t>
  </si>
  <si>
    <t>Free Cash Flow per Share</t>
  </si>
  <si>
    <t>Free Cash Flow</t>
  </si>
  <si>
    <t>Net Change in Cash</t>
  </si>
  <si>
    <t>Exchange Rate Effect</t>
  </si>
  <si>
    <t>All Activities</t>
  </si>
  <si>
    <t>Net Financing Cash Flow</t>
  </si>
  <si>
    <t>Other Sources</t>
  </si>
  <si>
    <t>Other Uses</t>
  </si>
  <si>
    <t>Other Funds</t>
  </si>
  <si>
    <t>Reduction in Long-Term Debt</t>
  </si>
  <si>
    <t>Issuance of Long-Term Debt</t>
  </si>
  <si>
    <t>Change in Long-Term Debt</t>
  </si>
  <si>
    <t>Issuance/Reduction of Debt, Net</t>
  </si>
  <si>
    <t>Proceeds from Stock Options</t>
  </si>
  <si>
    <t>Proceeds from Sale of Stock</t>
  </si>
  <si>
    <t>Sale of Common &amp; Preferred Stock</t>
  </si>
  <si>
    <t>Repurchase of Common &amp; Preferred Stk.</t>
  </si>
  <si>
    <t>Change in Capital Stock</t>
  </si>
  <si>
    <t>Financing Activities</t>
  </si>
  <si>
    <t>Net Investing Cash Flow</t>
  </si>
  <si>
    <t>Sale/Maturity of Investments</t>
  </si>
  <si>
    <t>Purchase of Investments</t>
  </si>
  <si>
    <t>Purchase/Sale of Investments</t>
  </si>
  <si>
    <t>Sale of Fixed Assets &amp; Businesses</t>
  </si>
  <si>
    <t>Net Assets from Acquisitions</t>
  </si>
  <si>
    <t>Capital Expenditures (Fixed Assets)</t>
  </si>
  <si>
    <t>Capital Expenditures</t>
  </si>
  <si>
    <t>Investing Activities</t>
  </si>
  <si>
    <t>Net Operating Cash Flow</t>
  </si>
  <si>
    <t>Other Assets/Liabilities</t>
  </si>
  <si>
    <t>Other Accruals</t>
  </si>
  <si>
    <t>Accounts Payable</t>
  </si>
  <si>
    <t>Receivables</t>
  </si>
  <si>
    <t>Changes in Working Capital</t>
  </si>
  <si>
    <t>Funds from Operations</t>
  </si>
  <si>
    <t>Deferred Taxes</t>
  </si>
  <si>
    <t>Deferred Taxes &amp; Investment Tax Credit</t>
  </si>
  <si>
    <t>Depreciation and Depletion</t>
  </si>
  <si>
    <t>Depreciation, Depletion &amp; Amortization</t>
  </si>
  <si>
    <t>Net Income / Starting Line</t>
  </si>
  <si>
    <t>Operating Activities</t>
  </si>
  <si>
    <t>$69.04</t>
  </si>
  <si>
    <t>$68.91</t>
  </si>
  <si>
    <t>Tax Expense</t>
  </si>
  <si>
    <t>Operating Income</t>
  </si>
  <si>
    <t>Cost of Sales</t>
  </si>
  <si>
    <t>Dec '26E</t>
  </si>
  <si>
    <t>Dec '25E</t>
  </si>
  <si>
    <t>Dec '24E</t>
  </si>
  <si>
    <t>CY '26E</t>
  </si>
  <si>
    <t>CY '25E</t>
  </si>
  <si>
    <t>CY '24E</t>
  </si>
  <si>
    <t>Income Statement (M)</t>
  </si>
  <si>
    <t>PLTR-US</t>
  </si>
  <si>
    <t>-</t>
  </si>
  <si>
    <t>Cash Flow from Financing</t>
  </si>
  <si>
    <t>Cash Flow from Investing</t>
  </si>
  <si>
    <t>Cash Flow from Operations</t>
  </si>
  <si>
    <t>Unlevered Free Cash Flow</t>
  </si>
  <si>
    <t>Cash Flow (M)</t>
  </si>
  <si>
    <t>DCF</t>
  </si>
  <si>
    <t>Ticker</t>
  </si>
  <si>
    <t>Date</t>
  </si>
  <si>
    <t>Year End</t>
  </si>
  <si>
    <t>PLTR</t>
  </si>
  <si>
    <t>Assumptions</t>
  </si>
  <si>
    <t>Switches</t>
  </si>
  <si>
    <t>Conservative</t>
  </si>
  <si>
    <t>Base</t>
  </si>
  <si>
    <t>Optimistic</t>
  </si>
  <si>
    <t>Year</t>
  </si>
  <si>
    <t>Metric</t>
  </si>
  <si>
    <t>Revenue</t>
  </si>
  <si>
    <t>TGR</t>
  </si>
  <si>
    <t>Valuation</t>
  </si>
  <si>
    <t>Income Statement (12/31, USD M)</t>
  </si>
  <si>
    <t>% growth</t>
  </si>
  <si>
    <t>--</t>
  </si>
  <si>
    <t>% of sales</t>
  </si>
  <si>
    <t>Taxes</t>
  </si>
  <si>
    <t>Tax rate</t>
  </si>
  <si>
    <t>Cash Flow Items (12/31, USD M)</t>
  </si>
  <si>
    <t>D&amp;A</t>
  </si>
  <si>
    <t>CapEx</t>
  </si>
  <si>
    <t>Change in NWC</t>
  </si>
  <si>
    <t>% of change in sales</t>
  </si>
  <si>
    <t>DCF (12/31, USD M)</t>
  </si>
  <si>
    <t>Base (Street)</t>
  </si>
  <si>
    <t>EBIAT</t>
  </si>
  <si>
    <t>Unlevered FCF</t>
  </si>
  <si>
    <t>PV of Unlevered FCF</t>
  </si>
  <si>
    <t>Period</t>
  </si>
  <si>
    <t>Discount Period</t>
  </si>
  <si>
    <t>Terminal Value</t>
  </si>
  <si>
    <t>PV of Terminal Value</t>
  </si>
  <si>
    <t>Enterprise Value</t>
  </si>
  <si>
    <t>(-) Debt</t>
  </si>
  <si>
    <t>(+) Cash</t>
  </si>
  <si>
    <t>Equity Value</t>
  </si>
  <si>
    <t>FDSO</t>
  </si>
  <si>
    <t>Implied Price per Share</t>
  </si>
  <si>
    <t>Current Stock Price</t>
  </si>
  <si>
    <t>Implied Share Price</t>
  </si>
  <si>
    <t>Upside / (Downside)</t>
  </si>
  <si>
    <t xml:space="preserve">Revenue </t>
  </si>
  <si>
    <t xml:space="preserve"> '26 - '29</t>
  </si>
  <si>
    <t>assumes tax rate stays 25%</t>
  </si>
  <si>
    <t>2.5%</t>
  </si>
  <si>
    <t>aggressive optimism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</si>
</sst>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#,##0.0"/>
    <numFmt numFmtId="165" formatCode="0.0%"/>
    <numFmt numFmtId="166" formatCode="0.00000%"/>
    <numFmt numFmtId="167" formatCode="#,##0.000_);\(#,##0.000\)"/>
    <numFmt numFmtId="168" formatCode="#,##0.000_);\(#,##0.000\);@_)"/>
    <numFmt numFmtId="169" formatCode="#,##0.0_);\(#,##0.0\)"/>
    <numFmt numFmtId="170" formatCode="#,##0.0_);\(#,##0.0\);@_)"/>
    <numFmt numFmtId="171" formatCode="&quot;Tranche&quot;\ 0"/>
    <numFmt numFmtId="172" formatCode="0.000"/>
    <numFmt numFmtId="173" formatCode="0.0%;\(0.0%\)"/>
    <numFmt numFmtId="174" formatCode="0\A"/>
    <numFmt numFmtId="175" formatCode="0&quot;E&quot;"/>
    <numFmt numFmtId="176" formatCode="0%;\(0%\)"/>
    <numFmt numFmtId="177" formatCode="&quot;$&quot;#,##0.00"/>
    <numFmt numFmtId="178" formatCode="0.0"/>
    <numFmt numFmtId="179" formatCode="#,###_);\(#,###\);@_)"/>
    <numFmt numFmtId="180" formatCode="0;\(0\)"/>
    <numFmt numFmtId="181" formatCode="#,##0.00_);\(#,##0.00\)"/>
    <numFmt numFmtId="182" formatCode="_-* #,##0.00\ _€_-;\-* #,##0.00\ _€_-;_-* &quot;-&quot;??\ _€_-;_-@_-"/>
    <numFmt numFmtId="183" formatCode="_-* #,##0.000\ _€_-;\-* #,##0.000\ _€_-;_-* &quot;-&quot;??\ _€_-;_-@_-"/>
    <numFmt numFmtId="184" formatCode="_-* #,##0.000_-;\-* #,##0.000_-;_-* &quot;-&quot;??_-;_-@_-"/>
    <numFmt numFmtId="185" formatCode="_-* #,##0_-;\-* #,##0_-;_-* &quot;-&quot;??_-;_-@_-"/>
    <numFmt numFmtId="186" formatCode="_-* #,##0\ _€_-;\-* #,##0\ _€_-;_-* &quot;-&quot;?\ _€_-;_-@_-"/>
    <numFmt numFmtId="187" formatCode="#,##0_);\(#,##0\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3CC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5" fillId="0" borderId="0" xfId="2"/>
    <xf numFmtId="0" fontId="6" fillId="0" borderId="0" xfId="2" applyFont="1" applyAlignment="1">
      <alignment horizontal="left"/>
    </xf>
    <xf numFmtId="164" fontId="5" fillId="0" borderId="0" xfId="2" applyNumberFormat="1" applyAlignment="1">
      <alignment horizontal="right"/>
    </xf>
    <xf numFmtId="0" fontId="5" fillId="0" borderId="0" xfId="2" applyAlignment="1">
      <alignment horizontal="left" indent="4"/>
    </xf>
    <xf numFmtId="164" fontId="5" fillId="2" borderId="0" xfId="2" applyNumberFormat="1" applyFill="1" applyAlignment="1">
      <alignment horizontal="right"/>
    </xf>
    <xf numFmtId="164" fontId="7" fillId="2" borderId="0" xfId="2" applyNumberFormat="1" applyFont="1" applyFill="1" applyAlignment="1">
      <alignment horizontal="right"/>
    </xf>
    <xf numFmtId="0" fontId="5" fillId="2" borderId="0" xfId="2" applyFill="1" applyAlignment="1">
      <alignment horizontal="left" indent="4"/>
    </xf>
    <xf numFmtId="164" fontId="8" fillId="0" borderId="0" xfId="2" applyNumberFormat="1" applyFont="1" applyAlignment="1">
      <alignment horizontal="right"/>
    </xf>
    <xf numFmtId="0" fontId="8" fillId="0" borderId="0" xfId="2" applyFont="1" applyAlignment="1">
      <alignment horizontal="left" indent="3"/>
    </xf>
    <xf numFmtId="0" fontId="8" fillId="2" borderId="0" xfId="2" applyFont="1" applyFill="1" applyAlignment="1">
      <alignment horizontal="left"/>
    </xf>
    <xf numFmtId="0" fontId="5" fillId="0" borderId="0" xfId="2" applyAlignment="1">
      <alignment horizontal="left"/>
    </xf>
    <xf numFmtId="4" fontId="5" fillId="0" borderId="0" xfId="2" applyNumberFormat="1" applyAlignment="1">
      <alignment horizontal="right"/>
    </xf>
    <xf numFmtId="0" fontId="5" fillId="0" borderId="0" xfId="2" applyAlignment="1">
      <alignment horizontal="left" indent="1"/>
    </xf>
    <xf numFmtId="4" fontId="5" fillId="2" borderId="0" xfId="2" applyNumberFormat="1" applyFill="1" applyAlignment="1">
      <alignment horizontal="right"/>
    </xf>
    <xf numFmtId="4" fontId="8" fillId="2" borderId="0" xfId="2" applyNumberFormat="1" applyFont="1" applyFill="1" applyAlignment="1">
      <alignment horizontal="right"/>
    </xf>
    <xf numFmtId="0" fontId="8" fillId="2" borderId="0" xfId="2" applyFont="1" applyFill="1" applyAlignment="1">
      <alignment horizontal="left" indent="3"/>
    </xf>
    <xf numFmtId="4" fontId="8" fillId="0" borderId="0" xfId="2" applyNumberFormat="1" applyFont="1" applyAlignment="1">
      <alignment horizontal="right"/>
    </xf>
    <xf numFmtId="4" fontId="7" fillId="2" borderId="0" xfId="2" applyNumberFormat="1" applyFont="1" applyFill="1" applyAlignment="1">
      <alignment horizontal="right"/>
    </xf>
    <xf numFmtId="0" fontId="5" fillId="2" borderId="0" xfId="2" applyFill="1" applyAlignment="1">
      <alignment horizontal="left" indent="1"/>
    </xf>
    <xf numFmtId="0" fontId="8" fillId="0" borderId="0" xfId="2" applyFont="1" applyAlignment="1">
      <alignment horizontal="left"/>
    </xf>
    <xf numFmtId="164" fontId="8" fillId="2" borderId="0" xfId="2" applyNumberFormat="1" applyFont="1" applyFill="1" applyAlignment="1">
      <alignment horizontal="right"/>
    </xf>
    <xf numFmtId="164" fontId="7" fillId="0" borderId="0" xfId="2" applyNumberFormat="1" applyFont="1" applyAlignment="1">
      <alignment horizontal="right"/>
    </xf>
    <xf numFmtId="0" fontId="5" fillId="2" borderId="0" xfId="2" applyFill="1" applyAlignment="1">
      <alignment horizontal="left"/>
    </xf>
    <xf numFmtId="0" fontId="5" fillId="2" borderId="0" xfId="2" applyFill="1" applyAlignment="1">
      <alignment horizontal="left" indent="7"/>
    </xf>
    <xf numFmtId="0" fontId="5" fillId="0" borderId="0" xfId="2" applyAlignment="1">
      <alignment horizontal="left" indent="7"/>
    </xf>
    <xf numFmtId="0" fontId="8" fillId="2" borderId="0" xfId="2" applyFont="1" applyFill="1" applyAlignment="1">
      <alignment horizontal="left" indent="6"/>
    </xf>
    <xf numFmtId="0" fontId="8" fillId="0" borderId="0" xfId="2" applyFont="1" applyAlignment="1">
      <alignment horizontal="left" indent="6"/>
    </xf>
    <xf numFmtId="0" fontId="9" fillId="3" borderId="0" xfId="2" applyFont="1" applyFill="1" applyAlignment="1">
      <alignment horizontal="left"/>
    </xf>
    <xf numFmtId="0" fontId="5" fillId="0" borderId="1" xfId="2" applyBorder="1"/>
    <xf numFmtId="0" fontId="5" fillId="0" borderId="2" xfId="2" applyBorder="1"/>
    <xf numFmtId="0" fontId="9" fillId="0" borderId="0" xfId="2" applyFont="1"/>
    <xf numFmtId="0" fontId="0" fillId="0" borderId="3" xfId="0" applyBorder="1" applyAlignment="1">
      <alignment horizontal="center"/>
    </xf>
    <xf numFmtId="0" fontId="10" fillId="0" borderId="3" xfId="0" applyFont="1" applyBorder="1"/>
    <xf numFmtId="0" fontId="0" fillId="0" borderId="3" xfId="0" applyBorder="1"/>
    <xf numFmtId="0" fontId="0" fillId="0" borderId="0" xfId="0" applyAlignment="1">
      <alignment horizontal="center"/>
    </xf>
    <xf numFmtId="0" fontId="2" fillId="4" borderId="0" xfId="0" applyFont="1" applyFill="1"/>
    <xf numFmtId="0" fontId="11" fillId="0" borderId="0" xfId="0" applyFont="1"/>
    <xf numFmtId="0" fontId="2" fillId="5" borderId="0" xfId="0" applyFont="1" applyFill="1"/>
    <xf numFmtId="0" fontId="0" fillId="5" borderId="0" xfId="0" applyFill="1"/>
    <xf numFmtId="3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6" borderId="4" xfId="0" applyNumberFormat="1" applyFill="1" applyBorder="1" applyAlignment="1">
      <alignment horizontal="right"/>
    </xf>
    <xf numFmtId="0" fontId="0" fillId="6" borderId="4" xfId="0" applyFill="1" applyBorder="1" applyAlignment="1">
      <alignment horizontal="right"/>
    </xf>
    <xf numFmtId="166" fontId="0" fillId="0" borderId="0" xfId="0" applyNumberFormat="1"/>
    <xf numFmtId="3" fontId="0" fillId="6" borderId="4" xfId="0" applyNumberFormat="1" applyFill="1" applyBorder="1" applyAlignment="1">
      <alignment horizontal="right"/>
    </xf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left"/>
    </xf>
    <xf numFmtId="0" fontId="4" fillId="4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left"/>
    </xf>
    <xf numFmtId="39" fontId="12" fillId="7" borderId="4" xfId="0" applyNumberFormat="1" applyFont="1" applyFill="1" applyBorder="1" applyAlignment="1">
      <alignment horizontal="right"/>
    </xf>
    <xf numFmtId="39" fontId="0" fillId="0" borderId="0" xfId="0" applyNumberFormat="1"/>
    <xf numFmtId="0" fontId="13" fillId="0" borderId="0" xfId="0" applyFont="1" applyAlignment="1">
      <alignment horizontal="left"/>
    </xf>
    <xf numFmtId="167" fontId="14" fillId="7" borderId="4" xfId="0" applyNumberFormat="1" applyFont="1" applyFill="1" applyBorder="1" applyAlignment="1">
      <alignment horizontal="right"/>
    </xf>
    <xf numFmtId="168" fontId="15" fillId="0" borderId="0" xfId="0" applyNumberFormat="1" applyFont="1"/>
    <xf numFmtId="168" fontId="0" fillId="0" borderId="0" xfId="0" applyNumberFormat="1"/>
    <xf numFmtId="168" fontId="16" fillId="0" borderId="0" xfId="0" applyNumberFormat="1" applyFont="1"/>
    <xf numFmtId="0" fontId="3" fillId="0" borderId="0" xfId="0" applyFont="1" applyAlignment="1">
      <alignment horizontal="left"/>
    </xf>
    <xf numFmtId="169" fontId="0" fillId="0" borderId="0" xfId="0" applyNumberFormat="1"/>
    <xf numFmtId="168" fontId="3" fillId="0" borderId="0" xfId="0" applyNumberFormat="1" applyFont="1"/>
    <xf numFmtId="170" fontId="0" fillId="0" borderId="0" xfId="0" applyNumberFormat="1"/>
    <xf numFmtId="0" fontId="11" fillId="0" borderId="0" xfId="0" applyFont="1" applyAlignment="1">
      <alignment horizontal="right"/>
    </xf>
    <xf numFmtId="171" fontId="0" fillId="0" borderId="0" xfId="0" applyNumberFormat="1" applyAlignment="1">
      <alignment horizontal="left"/>
    </xf>
    <xf numFmtId="39" fontId="14" fillId="7" borderId="4" xfId="0" applyNumberFormat="1" applyFont="1" applyFill="1" applyBorder="1" applyAlignment="1">
      <alignment horizontal="right"/>
    </xf>
    <xf numFmtId="171" fontId="0" fillId="0" borderId="3" xfId="0" applyNumberFormat="1" applyBorder="1" applyAlignment="1">
      <alignment horizontal="left"/>
    </xf>
    <xf numFmtId="169" fontId="14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right" indent="1"/>
    </xf>
    <xf numFmtId="0" fontId="3" fillId="8" borderId="5" xfId="0" applyFont="1" applyFill="1" applyBorder="1"/>
    <xf numFmtId="0" fontId="3" fillId="8" borderId="6" xfId="0" applyFont="1" applyFill="1" applyBorder="1"/>
    <xf numFmtId="172" fontId="3" fillId="8" borderId="7" xfId="0" applyNumberFormat="1" applyFont="1" applyFill="1" applyBorder="1" applyAlignment="1">
      <alignment horizontal="right" indent="1"/>
    </xf>
    <xf numFmtId="4" fontId="7" fillId="0" borderId="0" xfId="2" applyNumberFormat="1" applyFont="1" applyAlignment="1">
      <alignment horizontal="right"/>
    </xf>
    <xf numFmtId="3" fontId="5" fillId="2" borderId="0" xfId="2" applyNumberFormat="1" applyFill="1" applyAlignment="1">
      <alignment horizontal="right"/>
    </xf>
    <xf numFmtId="3" fontId="5" fillId="0" borderId="0" xfId="2" applyNumberFormat="1" applyAlignment="1">
      <alignment horizontal="right"/>
    </xf>
    <xf numFmtId="3" fontId="7" fillId="2" borderId="0" xfId="2" applyNumberFormat="1" applyFont="1" applyFill="1" applyAlignment="1">
      <alignment horizontal="right"/>
    </xf>
    <xf numFmtId="3" fontId="7" fillId="0" borderId="0" xfId="2" applyNumberFormat="1" applyFont="1" applyAlignment="1">
      <alignment horizontal="right"/>
    </xf>
    <xf numFmtId="0" fontId="0" fillId="6" borderId="4" xfId="0" applyFill="1" applyBorder="1" applyAlignment="1">
      <alignment horizontal="center"/>
    </xf>
    <xf numFmtId="0" fontId="2" fillId="9" borderId="0" xfId="0" applyFont="1" applyFill="1"/>
    <xf numFmtId="0" fontId="4" fillId="9" borderId="0" xfId="0" applyFont="1" applyFill="1"/>
    <xf numFmtId="0" fontId="17" fillId="0" borderId="0" xfId="0" applyFont="1"/>
    <xf numFmtId="0" fontId="1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73" fontId="0" fillId="6" borderId="4" xfId="0" applyNumberFormat="1" applyFill="1" applyBorder="1" applyAlignment="1">
      <alignment horizontal="center"/>
    </xf>
    <xf numFmtId="165" fontId="0" fillId="6" borderId="4" xfId="1" applyNumberFormat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74" fontId="2" fillId="4" borderId="0" xfId="0" applyNumberFormat="1" applyFont="1" applyFill="1"/>
    <xf numFmtId="175" fontId="2" fillId="4" borderId="0" xfId="0" applyNumberFormat="1" applyFont="1" applyFill="1"/>
    <xf numFmtId="0" fontId="18" fillId="0" borderId="0" xfId="0" applyFont="1"/>
    <xf numFmtId="37" fontId="19" fillId="0" borderId="0" xfId="0" applyNumberFormat="1" applyFont="1"/>
    <xf numFmtId="0" fontId="20" fillId="0" borderId="0" xfId="0" applyFont="1" applyAlignment="1">
      <alignment horizontal="left" indent="1"/>
    </xf>
    <xf numFmtId="176" fontId="20" fillId="0" borderId="0" xfId="1" applyNumberFormat="1" applyFont="1"/>
    <xf numFmtId="9" fontId="20" fillId="0" borderId="0" xfId="0" quotePrefix="1" applyNumberFormat="1" applyFont="1" applyAlignment="1">
      <alignment horizontal="right"/>
    </xf>
    <xf numFmtId="176" fontId="21" fillId="0" borderId="0" xfId="0" quotePrefix="1" applyNumberFormat="1" applyFont="1" applyAlignment="1">
      <alignment horizontal="right"/>
    </xf>
    <xf numFmtId="0" fontId="18" fillId="0" borderId="0" xfId="0" applyFont="1" applyAlignment="1">
      <alignment horizontal="center"/>
    </xf>
    <xf numFmtId="0" fontId="22" fillId="0" borderId="0" xfId="0" applyFont="1"/>
    <xf numFmtId="37" fontId="23" fillId="0" borderId="0" xfId="0" applyNumberFormat="1" applyFont="1"/>
    <xf numFmtId="1" fontId="23" fillId="0" borderId="0" xfId="0" applyNumberFormat="1" applyFont="1"/>
    <xf numFmtId="0" fontId="20" fillId="0" borderId="0" xfId="0" applyFont="1"/>
    <xf numFmtId="9" fontId="22" fillId="0" borderId="0" xfId="0" applyNumberFormat="1" applyFont="1"/>
    <xf numFmtId="3" fontId="15" fillId="0" borderId="0" xfId="0" applyNumberFormat="1" applyFont="1"/>
    <xf numFmtId="3" fontId="18" fillId="0" borderId="0" xfId="0" applyNumberFormat="1" applyFont="1"/>
    <xf numFmtId="176" fontId="21" fillId="0" borderId="0" xfId="1" applyNumberFormat="1" applyFont="1" applyFill="1" applyBorder="1" applyAlignment="1"/>
    <xf numFmtId="9" fontId="20" fillId="6" borderId="4" xfId="1" applyFont="1" applyFill="1" applyBorder="1" applyAlignment="1">
      <alignment horizontal="right"/>
    </xf>
    <xf numFmtId="37" fontId="15" fillId="0" borderId="0" xfId="0" applyNumberFormat="1" applyFont="1"/>
    <xf numFmtId="37" fontId="18" fillId="0" borderId="0" xfId="0" applyNumberFormat="1" applyFont="1"/>
    <xf numFmtId="176" fontId="24" fillId="0" borderId="0" xfId="0" applyNumberFormat="1" applyFont="1"/>
    <xf numFmtId="176" fontId="25" fillId="0" borderId="0" xfId="1" applyNumberFormat="1" applyFont="1" applyFill="1" applyBorder="1" applyAlignment="1"/>
    <xf numFmtId="2" fontId="0" fillId="0" borderId="0" xfId="0" applyNumberFormat="1"/>
    <xf numFmtId="14" fontId="0" fillId="0" borderId="0" xfId="0" applyNumberFormat="1"/>
    <xf numFmtId="3" fontId="26" fillId="0" borderId="0" xfId="0" applyNumberFormat="1" applyFont="1"/>
    <xf numFmtId="3" fontId="12" fillId="0" borderId="0" xfId="0" applyNumberFormat="1" applyFont="1"/>
    <xf numFmtId="177" fontId="0" fillId="0" borderId="0" xfId="0" applyNumberFormat="1"/>
    <xf numFmtId="176" fontId="25" fillId="0" borderId="0" xfId="0" quotePrefix="1" applyNumberFormat="1" applyFont="1" applyAlignment="1">
      <alignment horizontal="right"/>
    </xf>
    <xf numFmtId="178" fontId="0" fillId="0" borderId="0" xfId="0" applyNumberFormat="1"/>
    <xf numFmtId="0" fontId="16" fillId="0" borderId="0" xfId="0" applyFont="1"/>
    <xf numFmtId="3" fontId="16" fillId="0" borderId="0" xfId="0" applyNumberFormat="1" applyFont="1"/>
    <xf numFmtId="176" fontId="0" fillId="0" borderId="0" xfId="0" applyNumberFormat="1"/>
    <xf numFmtId="0" fontId="0" fillId="0" borderId="8" xfId="0" applyBorder="1"/>
    <xf numFmtId="0" fontId="0" fillId="0" borderId="9" xfId="0" applyBorder="1"/>
    <xf numFmtId="3" fontId="13" fillId="0" borderId="9" xfId="0" applyNumberFormat="1" applyFont="1" applyBorder="1"/>
    <xf numFmtId="0" fontId="0" fillId="0" borderId="10" xfId="0" applyBorder="1"/>
    <xf numFmtId="0" fontId="0" fillId="0" borderId="11" xfId="0" applyBorder="1"/>
    <xf numFmtId="3" fontId="0" fillId="0" borderId="11" xfId="0" applyNumberFormat="1" applyBorder="1"/>
    <xf numFmtId="0" fontId="0" fillId="0" borderId="12" xfId="0" applyBorder="1"/>
    <xf numFmtId="0" fontId="0" fillId="0" borderId="13" xfId="0" applyBorder="1"/>
    <xf numFmtId="3" fontId="0" fillId="0" borderId="13" xfId="0" applyNumberFormat="1" applyBorder="1"/>
    <xf numFmtId="179" fontId="19" fillId="0" borderId="0" xfId="0" applyNumberFormat="1" applyFont="1"/>
    <xf numFmtId="179" fontId="0" fillId="0" borderId="0" xfId="0" applyNumberFormat="1"/>
    <xf numFmtId="179" fontId="0" fillId="0" borderId="0" xfId="1" applyNumberFormat="1" applyFont="1" applyFill="1" applyBorder="1" applyAlignment="1">
      <alignment horizontal="center"/>
    </xf>
    <xf numFmtId="179" fontId="0" fillId="0" borderId="0" xfId="0" quotePrefix="1" applyNumberFormat="1" applyAlignment="1">
      <alignment horizontal="right"/>
    </xf>
    <xf numFmtId="176" fontId="21" fillId="0" borderId="0" xfId="1" quotePrefix="1" applyNumberFormat="1" applyFont="1" applyAlignment="1">
      <alignment horizontal="right"/>
    </xf>
    <xf numFmtId="176" fontId="0" fillId="0" borderId="0" xfId="1" applyNumberFormat="1" applyFont="1" applyFill="1" applyBorder="1" applyAlignment="1">
      <alignment horizontal="center"/>
    </xf>
    <xf numFmtId="176" fontId="20" fillId="0" borderId="0" xfId="1" quotePrefix="1" applyNumberFormat="1" applyFont="1" applyAlignment="1">
      <alignment horizontal="right"/>
    </xf>
    <xf numFmtId="175" fontId="2" fillId="0" borderId="0" xfId="0" applyNumberFormat="1" applyFont="1"/>
    <xf numFmtId="17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37" fontId="19" fillId="0" borderId="0" xfId="0" applyNumberFormat="1" applyFont="1" applyAlignment="1">
      <alignment horizontal="right"/>
    </xf>
    <xf numFmtId="180" fontId="19" fillId="0" borderId="0" xfId="0" applyNumberFormat="1" applyFont="1"/>
    <xf numFmtId="9" fontId="20" fillId="0" borderId="0" xfId="1" applyFont="1" applyFill="1" applyBorder="1" applyAlignment="1">
      <alignment horizontal="right"/>
    </xf>
    <xf numFmtId="9" fontId="21" fillId="0" borderId="0" xfId="1" applyFont="1" applyFill="1" applyBorder="1" applyAlignment="1">
      <alignment horizontal="right"/>
    </xf>
    <xf numFmtId="9" fontId="25" fillId="0" borderId="0" xfId="1" applyFont="1" applyFill="1" applyBorder="1" applyAlignment="1">
      <alignment horizontal="right"/>
    </xf>
    <xf numFmtId="9" fontId="24" fillId="6" borderId="15" xfId="1" applyFont="1" applyFill="1" applyBorder="1" applyAlignment="1">
      <alignment horizontal="right"/>
    </xf>
    <xf numFmtId="9" fontId="20" fillId="6" borderId="16" xfId="1" applyFont="1" applyFill="1" applyBorder="1" applyAlignment="1">
      <alignment horizontal="right"/>
    </xf>
    <xf numFmtId="9" fontId="24" fillId="6" borderId="18" xfId="1" applyFont="1" applyFill="1" applyBorder="1" applyAlignment="1">
      <alignment horizontal="right"/>
    </xf>
    <xf numFmtId="9" fontId="24" fillId="6" borderId="19" xfId="1" applyFont="1" applyFill="1" applyBorder="1" applyAlignment="1">
      <alignment horizontal="right"/>
    </xf>
    <xf numFmtId="9" fontId="20" fillId="6" borderId="20" xfId="1" applyFont="1" applyFill="1" applyBorder="1" applyAlignment="1">
      <alignment horizontal="right"/>
    </xf>
    <xf numFmtId="3" fontId="0" fillId="0" borderId="22" xfId="0" applyNumberFormat="1" applyBorder="1"/>
    <xf numFmtId="179" fontId="15" fillId="0" borderId="0" xfId="0" applyNumberFormat="1" applyFont="1"/>
    <xf numFmtId="176" fontId="25" fillId="0" borderId="0" xfId="1" quotePrefix="1" applyNumberFormat="1" applyFont="1" applyAlignment="1">
      <alignment horizontal="right"/>
    </xf>
    <xf numFmtId="9" fontId="25" fillId="6" borderId="17" xfId="1" applyFont="1" applyFill="1" applyBorder="1" applyAlignment="1">
      <alignment horizontal="right"/>
    </xf>
    <xf numFmtId="9" fontId="25" fillId="6" borderId="14" xfId="1" applyFont="1" applyFill="1" applyBorder="1" applyAlignment="1">
      <alignment horizontal="right"/>
    </xf>
    <xf numFmtId="9" fontId="25" fillId="6" borderId="21" xfId="1" applyFont="1" applyFill="1" applyBorder="1" applyAlignment="1">
      <alignment horizontal="right"/>
    </xf>
    <xf numFmtId="37" fontId="15" fillId="0" borderId="0" xfId="0" applyNumberFormat="1" applyFont="1" applyAlignment="1">
      <alignment horizontal="right"/>
    </xf>
    <xf numFmtId="176" fontId="25" fillId="0" borderId="0" xfId="0" applyNumberFormat="1" applyFont="1"/>
    <xf numFmtId="0" fontId="15" fillId="0" borderId="0" xfId="0" applyFont="1"/>
    <xf numFmtId="180" fontId="15" fillId="0" borderId="0" xfId="0" applyNumberFormat="1" applyFont="1" applyAlignment="1">
      <alignment horizontal="right"/>
    </xf>
    <xf numFmtId="10" fontId="18" fillId="0" borderId="0" xfId="0" applyNumberFormat="1" applyFont="1" applyAlignment="1">
      <alignment horizontal="center"/>
    </xf>
    <xf numFmtId="10" fontId="20" fillId="0" borderId="0" xfId="0" applyNumberFormat="1" applyFont="1"/>
    <xf numFmtId="10" fontId="22" fillId="0" borderId="0" xfId="0" applyNumberFormat="1" applyFont="1"/>
    <xf numFmtId="10" fontId="21" fillId="0" borderId="0" xfId="0" quotePrefix="1" applyNumberFormat="1" applyFont="1" applyAlignment="1">
      <alignment horizontal="right"/>
    </xf>
    <xf numFmtId="10" fontId="18" fillId="0" borderId="0" xfId="0" applyNumberFormat="1" applyFont="1"/>
    <xf numFmtId="10" fontId="0" fillId="6" borderId="4" xfId="1" applyNumberFormat="1" applyFont="1" applyFill="1" applyBorder="1" applyAlignment="1">
      <alignment horizontal="right"/>
    </xf>
    <xf numFmtId="181" fontId="14" fillId="7" borderId="4" xfId="0" applyNumberFormat="1" applyFont="1" applyFill="1" applyBorder="1" applyAlignment="1">
      <alignment horizontal="right"/>
    </xf>
    <xf numFmtId="182" fontId="0" fillId="0" borderId="0" xfId="0" applyNumberFormat="1" applyAlignment="1">
      <alignment horizontal="right" indent="1"/>
    </xf>
    <xf numFmtId="183" fontId="0" fillId="0" borderId="0" xfId="0" applyNumberFormat="1" applyAlignment="1">
      <alignment horizontal="right" indent="1"/>
    </xf>
    <xf numFmtId="14" fontId="0" fillId="6" borderId="4" xfId="0" applyNumberFormat="1" applyFill="1" applyBorder="1" applyAlignment="1">
      <alignment horizontal="center"/>
    </xf>
    <xf numFmtId="9" fontId="24" fillId="6" borderId="23" xfId="1" applyFont="1" applyFill="1" applyBorder="1" applyAlignment="1">
      <alignment horizontal="right"/>
    </xf>
    <xf numFmtId="9" fontId="20" fillId="6" borderId="24" xfId="1" applyFont="1" applyFill="1" applyBorder="1" applyAlignment="1">
      <alignment horizontal="right"/>
    </xf>
    <xf numFmtId="9" fontId="20" fillId="6" borderId="25" xfId="1" applyFont="1" applyFill="1" applyBorder="1" applyAlignment="1">
      <alignment horizontal="right"/>
    </xf>
    <xf numFmtId="9" fontId="0" fillId="6" borderId="4" xfId="1" applyFont="1" applyFill="1" applyBorder="1" applyAlignment="1">
      <alignment horizontal="center"/>
    </xf>
    <xf numFmtId="43" fontId="0" fillId="0" borderId="0" xfId="3" applyFont="1"/>
    <xf numFmtId="185" fontId="0" fillId="0" borderId="0" xfId="3" applyNumberFormat="1" applyFont="1"/>
    <xf numFmtId="185" fontId="0" fillId="0" borderId="0" xfId="3" applyNumberFormat="1" applyFont="1" applyAlignment="1">
      <alignment horizontal="right" vertical="center"/>
    </xf>
    <xf numFmtId="185" fontId="0" fillId="0" borderId="0" xfId="0" applyNumberFormat="1"/>
    <xf numFmtId="0" fontId="27" fillId="0" borderId="0" xfId="0" applyFont="1"/>
    <xf numFmtId="185" fontId="27" fillId="0" borderId="0" xfId="3" applyNumberFormat="1" applyFont="1" applyAlignment="1">
      <alignment horizontal="right"/>
    </xf>
    <xf numFmtId="184" fontId="14" fillId="7" borderId="4" xfId="3" applyNumberFormat="1" applyFont="1" applyFill="1" applyBorder="1" applyAlignment="1">
      <alignment horizontal="right"/>
    </xf>
    <xf numFmtId="185" fontId="26" fillId="0" borderId="0" xfId="3" applyNumberFormat="1" applyFont="1"/>
    <xf numFmtId="2" fontId="0" fillId="6" borderId="4" xfId="0" applyNumberFormat="1" applyFill="1" applyBorder="1" applyAlignment="1">
      <alignment horizontal="right"/>
    </xf>
    <xf numFmtId="9" fontId="24" fillId="10" borderId="15" xfId="1" applyFont="1" applyFill="1" applyBorder="1" applyAlignment="1">
      <alignment horizontal="center"/>
    </xf>
    <xf numFmtId="9" fontId="20" fillId="10" borderId="16" xfId="1" applyFont="1" applyFill="1" applyBorder="1" applyAlignment="1">
      <alignment horizontal="right"/>
    </xf>
    <xf numFmtId="9" fontId="20" fillId="10" borderId="17" xfId="1" applyFont="1" applyFill="1" applyBorder="1" applyAlignment="1">
      <alignment horizontal="right"/>
    </xf>
    <xf numFmtId="9" fontId="24" fillId="10" borderId="18" xfId="1" applyFont="1" applyFill="1" applyBorder="1" applyAlignment="1">
      <alignment horizontal="center"/>
    </xf>
    <xf numFmtId="9" fontId="25" fillId="10" borderId="4" xfId="1" applyFont="1" applyFill="1" applyBorder="1" applyAlignment="1">
      <alignment horizontal="right"/>
    </xf>
    <xf numFmtId="9" fontId="21" fillId="10" borderId="4" xfId="1" applyFont="1" applyFill="1" applyBorder="1" applyAlignment="1">
      <alignment horizontal="right"/>
    </xf>
    <xf numFmtId="9" fontId="21" fillId="10" borderId="14" xfId="1" applyFont="1" applyFill="1" applyBorder="1" applyAlignment="1">
      <alignment horizontal="right"/>
    </xf>
    <xf numFmtId="9" fontId="24" fillId="10" borderId="19" xfId="1" applyFont="1" applyFill="1" applyBorder="1" applyAlignment="1">
      <alignment horizontal="center"/>
    </xf>
    <xf numFmtId="9" fontId="20" fillId="10" borderId="20" xfId="1" applyFont="1" applyFill="1" applyBorder="1" applyAlignment="1">
      <alignment horizontal="right"/>
    </xf>
    <xf numFmtId="9" fontId="20" fillId="10" borderId="21" xfId="1" applyFont="1" applyFill="1" applyBorder="1" applyAlignment="1">
      <alignment horizontal="right"/>
    </xf>
    <xf numFmtId="9" fontId="20" fillId="0" borderId="0" xfId="1" applyFont="1" applyFill="1" applyBorder="1" applyAlignment="1">
      <alignment horizontal="left"/>
    </xf>
    <xf numFmtId="187" fontId="14" fillId="0" borderId="4" xfId="0" applyNumberFormat="1" applyFont="1" applyBorder="1" applyAlignment="1">
      <alignment horizontal="right"/>
    </xf>
    <xf numFmtId="39" fontId="14" fillId="0" borderId="4" xfId="0" applyNumberFormat="1" applyFont="1" applyBorder="1" applyAlignment="1">
      <alignment horizontal="right"/>
    </xf>
    <xf numFmtId="167" fontId="14" fillId="0" borderId="4" xfId="0" applyNumberFormat="1" applyFont="1" applyBorder="1" applyAlignment="1">
      <alignment horizontal="right"/>
    </xf>
    <xf numFmtId="37" fontId="0" fillId="0" borderId="9" xfId="0" applyNumberFormat="1" applyBorder="1"/>
    <xf numFmtId="186" fontId="0" fillId="0" borderId="0" xfId="0" applyNumberFormat="1" applyAlignment="1">
      <alignment horizontal="right" vertical="top"/>
    </xf>
    <xf numFmtId="0" fontId="5" fillId="0" borderId="0" xfId="2" applyAlignment="1">
      <alignment horizontal="center"/>
    </xf>
  </cellXfs>
  <cellStyles count="4">
    <cellStyle name="Comma" xfId="3" builtinId="3"/>
    <cellStyle name="Normal" xfId="0" builtinId="0"/>
    <cellStyle name="Normal 2" xfId="2" xr:uid="{0382E658-C32A-4AB3-921E-C33846E683EE}"/>
    <cellStyle name="Per cent" xfId="1" builtinId="5"/>
  </cellStyles>
  <dxfs count="0"/>
  <tableStyles count="0" defaultTableStyle="TableStyleMedium2" defaultPivotStyle="PivotStyleLight16"/>
  <colors>
    <mruColors>
      <color rgb="FFFFF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A8E7-B83E-49BE-B081-6441C1E68853}">
  <dimension ref="A2:V83"/>
  <sheetViews>
    <sheetView showGridLines="0" tabSelected="1" topLeftCell="A5" zoomScale="85" zoomScaleNormal="92" workbookViewId="0">
      <selection activeCell="S76" sqref="S76"/>
    </sheetView>
  </sheetViews>
  <sheetFormatPr baseColWidth="10" defaultColWidth="10.6640625" defaultRowHeight="15" x14ac:dyDescent="0.2"/>
  <cols>
    <col min="1" max="1" width="5.6640625" customWidth="1"/>
    <col min="2" max="2" width="10.6640625" customWidth="1"/>
    <col min="16" max="16" width="13.6640625" bestFit="1" customWidth="1"/>
    <col min="19" max="19" width="10.6640625" customWidth="1"/>
  </cols>
  <sheetData>
    <row r="2" spans="1:20" s="34" customFormat="1" ht="21" x14ac:dyDescent="0.25">
      <c r="B2" s="33" t="s">
        <v>155</v>
      </c>
    </row>
    <row r="4" spans="1:20" x14ac:dyDescent="0.2">
      <c r="B4" t="s">
        <v>156</v>
      </c>
      <c r="C4" s="78" t="s">
        <v>159</v>
      </c>
      <c r="E4" t="s">
        <v>196</v>
      </c>
      <c r="H4" s="172">
        <v>69.849999999999994</v>
      </c>
    </row>
    <row r="5" spans="1:20" x14ac:dyDescent="0.2">
      <c r="B5" t="s">
        <v>157</v>
      </c>
      <c r="C5" s="167">
        <v>45630</v>
      </c>
      <c r="E5" t="s">
        <v>197</v>
      </c>
      <c r="H5" s="109">
        <f ca="1">P83</f>
        <v>10.053175978592746</v>
      </c>
    </row>
    <row r="6" spans="1:20" x14ac:dyDescent="0.2">
      <c r="B6" t="s">
        <v>158</v>
      </c>
      <c r="C6" s="167">
        <v>45657</v>
      </c>
      <c r="E6" t="s">
        <v>198</v>
      </c>
      <c r="H6" s="118">
        <f ca="1">H5/H4-1</f>
        <v>-0.85607478913968871</v>
      </c>
    </row>
    <row r="8" spans="1:20" x14ac:dyDescent="0.2">
      <c r="A8" s="35"/>
      <c r="B8" s="36" t="s">
        <v>160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</row>
    <row r="9" spans="1:20" ht="5" customHeight="1" x14ac:dyDescent="0.2"/>
    <row r="10" spans="1:20" x14ac:dyDescent="0.2">
      <c r="B10" s="79" t="s">
        <v>161</v>
      </c>
      <c r="C10" s="80"/>
      <c r="D10" s="80"/>
      <c r="E10" s="80"/>
      <c r="G10" s="79" t="s">
        <v>162</v>
      </c>
      <c r="H10" s="80"/>
      <c r="I10" s="80"/>
      <c r="J10" s="80"/>
      <c r="L10" s="79" t="s">
        <v>163</v>
      </c>
      <c r="M10" s="80"/>
      <c r="N10" s="80"/>
      <c r="O10" s="80"/>
      <c r="Q10" s="79" t="s">
        <v>164</v>
      </c>
      <c r="R10" s="80"/>
      <c r="S10" s="80"/>
      <c r="T10" s="80"/>
    </row>
    <row r="11" spans="1:20" x14ac:dyDescent="0.2">
      <c r="B11" s="37" t="s">
        <v>160</v>
      </c>
      <c r="G11" s="37" t="s">
        <v>160</v>
      </c>
      <c r="H11" s="81"/>
      <c r="I11" s="82" t="s">
        <v>165</v>
      </c>
      <c r="J11" s="82" t="s">
        <v>166</v>
      </c>
      <c r="L11" s="37" t="s">
        <v>160</v>
      </c>
      <c r="M11" s="81"/>
      <c r="N11" s="82" t="s">
        <v>165</v>
      </c>
      <c r="O11" s="82" t="s">
        <v>166</v>
      </c>
      <c r="Q11" s="37" t="s">
        <v>160</v>
      </c>
      <c r="R11" s="81"/>
      <c r="S11" s="82" t="s">
        <v>165</v>
      </c>
      <c r="T11" s="82" t="s">
        <v>166</v>
      </c>
    </row>
    <row r="12" spans="1:20" x14ac:dyDescent="0.2">
      <c r="B12" t="s">
        <v>167</v>
      </c>
      <c r="E12" s="78">
        <v>3</v>
      </c>
      <c r="F12" s="35"/>
      <c r="G12" t="s">
        <v>199</v>
      </c>
      <c r="I12" s="83">
        <v>2025</v>
      </c>
      <c r="J12" s="84">
        <v>0.95</v>
      </c>
      <c r="N12" s="83"/>
      <c r="O12" s="83"/>
      <c r="Q12" t="s">
        <v>199</v>
      </c>
      <c r="S12" s="83">
        <v>2025</v>
      </c>
      <c r="T12" s="84">
        <v>1.1000000000000001</v>
      </c>
    </row>
    <row r="13" spans="1:20" x14ac:dyDescent="0.2">
      <c r="B13" t="s">
        <v>2</v>
      </c>
      <c r="E13" s="78">
        <v>3</v>
      </c>
      <c r="F13" s="35"/>
      <c r="G13" t="s">
        <v>199</v>
      </c>
      <c r="I13" s="83" t="s">
        <v>200</v>
      </c>
      <c r="J13" s="84">
        <v>0.7</v>
      </c>
      <c r="L13" t="str">
        <f>G13</f>
        <v xml:space="preserve">Revenue </v>
      </c>
      <c r="N13" s="83" t="str">
        <f>I13</f>
        <v xml:space="preserve"> '26 - '29</v>
      </c>
      <c r="O13" s="84">
        <v>0.85</v>
      </c>
      <c r="Q13" t="s">
        <v>199</v>
      </c>
      <c r="S13" s="83" t="str">
        <f>N13</f>
        <v xml:space="preserve"> '26 - '29</v>
      </c>
      <c r="T13" s="84">
        <v>0.9</v>
      </c>
    </row>
    <row r="14" spans="1:20" x14ac:dyDescent="0.2">
      <c r="B14" t="s">
        <v>65</v>
      </c>
      <c r="E14" s="78">
        <v>3</v>
      </c>
      <c r="F14" s="35"/>
      <c r="G14" t="s">
        <v>2</v>
      </c>
      <c r="I14" s="35">
        <v>2029</v>
      </c>
      <c r="J14" s="85">
        <v>0.41</v>
      </c>
      <c r="L14" t="str">
        <f>G14</f>
        <v>EBIT</v>
      </c>
      <c r="N14" s="35">
        <v>2029</v>
      </c>
      <c r="O14" s="85">
        <v>0.42499999999999999</v>
      </c>
      <c r="Q14" t="str">
        <f>L14</f>
        <v>EBIT</v>
      </c>
      <c r="S14" s="35"/>
      <c r="T14" s="85">
        <v>0.44</v>
      </c>
    </row>
    <row r="15" spans="1:20" x14ac:dyDescent="0.2">
      <c r="B15" t="s">
        <v>168</v>
      </c>
      <c r="E15" s="78">
        <v>3</v>
      </c>
      <c r="F15" s="35"/>
    </row>
    <row r="16" spans="1:20" x14ac:dyDescent="0.2">
      <c r="E16" s="35"/>
      <c r="F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spans="1:22" x14ac:dyDescent="0.2">
      <c r="B17" s="37" t="s">
        <v>169</v>
      </c>
      <c r="F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1:22" x14ac:dyDescent="0.2">
      <c r="B18" t="s">
        <v>65</v>
      </c>
      <c r="E18" s="85">
        <f>CHOOSE(E14,J18,O18,T18)</f>
        <v>0.09</v>
      </c>
      <c r="F18" s="35"/>
      <c r="G18" t="s">
        <v>65</v>
      </c>
      <c r="J18" s="85">
        <v>0.14399999999999999</v>
      </c>
      <c r="K18" s="35"/>
      <c r="L18" t="s">
        <v>65</v>
      </c>
      <c r="O18" s="85">
        <v>0.11</v>
      </c>
      <c r="P18" s="35"/>
      <c r="Q18" t="s">
        <v>65</v>
      </c>
      <c r="T18" s="85">
        <v>0.09</v>
      </c>
    </row>
    <row r="19" spans="1:22" x14ac:dyDescent="0.2">
      <c r="B19" t="s">
        <v>168</v>
      </c>
      <c r="E19" s="171" t="str">
        <f>J19</f>
        <v>2.5%</v>
      </c>
      <c r="G19" t="s">
        <v>168</v>
      </c>
      <c r="J19" s="85" t="s">
        <v>202</v>
      </c>
      <c r="K19" s="35"/>
      <c r="L19" t="s">
        <v>168</v>
      </c>
      <c r="O19" s="85" t="s">
        <v>202</v>
      </c>
      <c r="P19" s="35"/>
      <c r="Q19" t="s">
        <v>168</v>
      </c>
      <c r="T19" s="85">
        <v>0.03</v>
      </c>
    </row>
    <row r="20" spans="1:22" x14ac:dyDescent="0.2">
      <c r="E20" s="86"/>
      <c r="J20" s="86"/>
      <c r="K20" s="35"/>
      <c r="O20" s="86"/>
      <c r="P20" s="35"/>
      <c r="T20" s="86"/>
    </row>
    <row r="21" spans="1:22" x14ac:dyDescent="0.2">
      <c r="A21" s="35"/>
      <c r="B21" s="36" t="s">
        <v>170</v>
      </c>
      <c r="C21" s="36"/>
      <c r="D21" s="36"/>
      <c r="E21" s="87">
        <v>2018</v>
      </c>
      <c r="F21" s="87">
        <f>E21+1</f>
        <v>2019</v>
      </c>
      <c r="G21" s="87">
        <f t="shared" ref="G21:M21" si="0">F21+1</f>
        <v>2020</v>
      </c>
      <c r="H21" s="87">
        <f t="shared" si="0"/>
        <v>2021</v>
      </c>
      <c r="I21" s="87">
        <f t="shared" si="0"/>
        <v>2022</v>
      </c>
      <c r="J21" s="87">
        <f t="shared" si="0"/>
        <v>2023</v>
      </c>
      <c r="K21" s="88">
        <f t="shared" si="0"/>
        <v>2024</v>
      </c>
      <c r="L21" s="88">
        <f t="shared" si="0"/>
        <v>2025</v>
      </c>
      <c r="M21" s="88">
        <f t="shared" si="0"/>
        <v>2026</v>
      </c>
      <c r="N21" s="135"/>
      <c r="O21" s="135"/>
      <c r="P21" s="135"/>
      <c r="Q21" s="135"/>
      <c r="R21" s="135"/>
      <c r="S21" s="135"/>
      <c r="T21" s="135"/>
    </row>
    <row r="22" spans="1:22" x14ac:dyDescent="0.2">
      <c r="B22" t="s">
        <v>167</v>
      </c>
      <c r="E22" s="128">
        <f>'IS - Annual'!B10</f>
        <v>595.40899999999999</v>
      </c>
      <c r="F22" s="128">
        <f>'IS - Annual'!C10</f>
        <v>742.55499999999995</v>
      </c>
      <c r="G22" s="128">
        <f>'IS - Annual'!D10</f>
        <v>1092.673</v>
      </c>
      <c r="H22" s="128">
        <f>'IS - Annual'!E10</f>
        <v>1541.8889999999999</v>
      </c>
      <c r="I22" s="128">
        <f>'IS - Annual'!F10</f>
        <v>1905.8710000000001</v>
      </c>
      <c r="J22" s="128">
        <f>'IS - Annual'!G10</f>
        <v>2225.0120000000002</v>
      </c>
      <c r="K22" s="128">
        <f>'IS - Estimates'!B5</f>
        <v>2809.51</v>
      </c>
      <c r="L22" s="128">
        <f>'IS - Estimates'!C5</f>
        <v>3512.98</v>
      </c>
      <c r="M22" s="128">
        <f>'IS - Estimates'!D5</f>
        <v>4216.33</v>
      </c>
      <c r="N22" s="129"/>
      <c r="O22" s="130"/>
      <c r="P22" s="136"/>
      <c r="Q22" s="129"/>
      <c r="R22" s="129"/>
      <c r="S22" s="129"/>
      <c r="T22" s="129"/>
    </row>
    <row r="23" spans="1:22" x14ac:dyDescent="0.2">
      <c r="B23" s="91" t="s">
        <v>171</v>
      </c>
      <c r="E23" s="131" t="s">
        <v>172</v>
      </c>
      <c r="F23" s="92">
        <f>F22/E22-1</f>
        <v>0.24713432279323944</v>
      </c>
      <c r="G23" s="92">
        <f t="shared" ref="G23:M23" si="1">G22/F22-1</f>
        <v>0.47150446768252863</v>
      </c>
      <c r="H23" s="92">
        <f t="shared" si="1"/>
        <v>0.41111659206368234</v>
      </c>
      <c r="I23" s="92">
        <f t="shared" si="1"/>
        <v>0.23606238840798532</v>
      </c>
      <c r="J23" s="92">
        <f t="shared" si="1"/>
        <v>0.16745152216493153</v>
      </c>
      <c r="K23" s="92">
        <f t="shared" si="1"/>
        <v>0.26269431355875827</v>
      </c>
      <c r="L23" s="92">
        <f t="shared" si="1"/>
        <v>0.25038885784353848</v>
      </c>
      <c r="M23" s="92">
        <f t="shared" si="1"/>
        <v>0.20021463259113337</v>
      </c>
      <c r="N23" s="129"/>
      <c r="O23" s="130"/>
      <c r="P23" s="136"/>
      <c r="Q23" s="129"/>
      <c r="R23" s="129"/>
      <c r="S23" s="129"/>
      <c r="T23" s="129"/>
    </row>
    <row r="24" spans="1:22" x14ac:dyDescent="0.2"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30"/>
      <c r="P24" s="136"/>
      <c r="Q24" s="129"/>
      <c r="R24" s="129"/>
      <c r="S24" s="129"/>
      <c r="T24" s="129"/>
    </row>
    <row r="25" spans="1:22" x14ac:dyDescent="0.2">
      <c r="B25" t="s">
        <v>2</v>
      </c>
      <c r="E25" s="128">
        <f>'IS - Annual'!B20</f>
        <v>-623.44000000000005</v>
      </c>
      <c r="F25" s="128">
        <f>'IS - Annual'!C20</f>
        <v>-576.44399999999996</v>
      </c>
      <c r="G25" s="128">
        <f>'IS - Annual'!D20</f>
        <v>-1173.6790000000001</v>
      </c>
      <c r="H25" s="128">
        <f>'IS - Annual'!E20</f>
        <v>-411.04599999999999</v>
      </c>
      <c r="I25" s="128">
        <f>'IS - Annual'!F20</f>
        <v>-161.20099999999999</v>
      </c>
      <c r="J25" s="128">
        <f>'IS - Annual'!G20</f>
        <v>119.96599999999999</v>
      </c>
      <c r="K25" s="128">
        <f>'IS - Estimates'!B9</f>
        <v>1062.0999999999999</v>
      </c>
      <c r="L25" s="128">
        <f>'IS - Estimates'!C9</f>
        <v>1354.47</v>
      </c>
      <c r="M25" s="128">
        <f>'IS - Estimates'!D9</f>
        <v>1653.59</v>
      </c>
      <c r="N25" s="129"/>
      <c r="O25" s="130"/>
      <c r="P25" s="136"/>
      <c r="Q25" s="129"/>
      <c r="R25" s="129"/>
      <c r="S25" s="129"/>
      <c r="T25" s="129"/>
    </row>
    <row r="26" spans="1:22" x14ac:dyDescent="0.2">
      <c r="B26" s="91" t="s">
        <v>173</v>
      </c>
      <c r="E26" s="134">
        <f>E25/E22</f>
        <v>-1.0470785628030481</v>
      </c>
      <c r="F26" s="134">
        <f t="shared" ref="F26:M26" si="2">F25/F22</f>
        <v>-0.77629805199614843</v>
      </c>
      <c r="G26" s="134">
        <f t="shared" si="2"/>
        <v>-1.0741356288660926</v>
      </c>
      <c r="H26" s="134">
        <f t="shared" si="2"/>
        <v>-0.26658598641017611</v>
      </c>
      <c r="I26" s="134">
        <f t="shared" si="2"/>
        <v>-8.4581275437844425E-2</v>
      </c>
      <c r="J26" s="134">
        <f t="shared" si="2"/>
        <v>5.3917012582404042E-2</v>
      </c>
      <c r="K26" s="134">
        <f t="shared" si="2"/>
        <v>0.37803745137052364</v>
      </c>
      <c r="L26" s="134">
        <f t="shared" si="2"/>
        <v>0.38556154603783682</v>
      </c>
      <c r="M26" s="134">
        <f t="shared" si="2"/>
        <v>0.39218704418297429</v>
      </c>
      <c r="N26" s="129"/>
      <c r="O26" s="130"/>
      <c r="P26" s="136"/>
      <c r="Q26" s="129"/>
      <c r="R26" s="129"/>
      <c r="S26" s="129"/>
      <c r="T26" s="129"/>
    </row>
    <row r="27" spans="1:22" x14ac:dyDescent="0.2"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30"/>
      <c r="P27" s="136"/>
      <c r="Q27" s="129"/>
      <c r="R27" s="129"/>
      <c r="S27" s="129"/>
      <c r="T27" s="129"/>
    </row>
    <row r="28" spans="1:22" x14ac:dyDescent="0.2">
      <c r="B28" t="s">
        <v>174</v>
      </c>
      <c r="E28" s="128">
        <f>'IS - Annual'!B32</f>
        <v>9.1020000000000003</v>
      </c>
      <c r="F28" s="128">
        <f>'IS - Annual'!C32</f>
        <v>12.375</v>
      </c>
      <c r="G28" s="128">
        <f>'IS - Annual'!D32</f>
        <v>-12.635999999999999</v>
      </c>
      <c r="H28" s="128">
        <f>'IS - Annual'!E32</f>
        <v>31.885000000000002</v>
      </c>
      <c r="I28" s="128">
        <f>'IS - Annual'!F32</f>
        <v>10.067</v>
      </c>
      <c r="J28" s="128">
        <f>'IS - Annual'!G32</f>
        <v>19.716000000000001</v>
      </c>
      <c r="K28" s="128"/>
      <c r="L28" s="128"/>
      <c r="M28" s="128"/>
      <c r="N28" s="129"/>
      <c r="O28" s="130"/>
      <c r="P28" s="136"/>
      <c r="Q28" s="129"/>
      <c r="R28" s="129"/>
      <c r="S28" s="129"/>
      <c r="T28" s="129"/>
    </row>
    <row r="29" spans="1:22" x14ac:dyDescent="0.2">
      <c r="B29" s="91" t="s">
        <v>175</v>
      </c>
      <c r="E29" s="132">
        <f>E28/'IS - Annual'!B31</f>
        <v>-1.5942549371633755E-2</v>
      </c>
      <c r="F29" s="132">
        <f>F28/'IS - Annual'!C31</f>
        <v>-2.1814970269941527E-2</v>
      </c>
      <c r="G29" s="132">
        <f>G28/'IS - Annual'!D31</f>
        <v>1.0717311817286626E-2</v>
      </c>
      <c r="H29" s="132">
        <f>H28/'IS - Annual'!E31</f>
        <v>-6.527204018882525E-2</v>
      </c>
      <c r="I29" s="132">
        <f>I28/'IS - Annual'!F31</f>
        <v>-2.7884341060363908E-2</v>
      </c>
      <c r="J29" s="132">
        <f>J28/'IS - Annual'!G31</f>
        <v>8.3157943574408144E-2</v>
      </c>
      <c r="K29" s="94"/>
      <c r="L29" s="94"/>
      <c r="M29" s="94"/>
      <c r="N29" s="118"/>
      <c r="O29" s="133"/>
      <c r="P29" s="137"/>
      <c r="Q29" s="118"/>
      <c r="R29" s="118"/>
      <c r="S29" s="118"/>
      <c r="T29" s="118"/>
    </row>
    <row r="30" spans="1:22" x14ac:dyDescent="0.2"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30"/>
      <c r="P30" s="136"/>
      <c r="Q30" s="129"/>
      <c r="R30" s="129"/>
      <c r="S30" s="129"/>
      <c r="T30" s="129"/>
    </row>
    <row r="31" spans="1:22" x14ac:dyDescent="0.2">
      <c r="A31" s="95"/>
      <c r="B31" s="36" t="s">
        <v>176</v>
      </c>
      <c r="C31" s="36"/>
      <c r="D31" s="36"/>
      <c r="E31" s="87">
        <v>2018</v>
      </c>
      <c r="F31" s="87">
        <f>E31+1</f>
        <v>2019</v>
      </c>
      <c r="G31" s="87">
        <f>F31+1</f>
        <v>2020</v>
      </c>
      <c r="H31" s="87">
        <f>G31+1</f>
        <v>2021</v>
      </c>
      <c r="I31" s="87">
        <f>H31+1</f>
        <v>2022</v>
      </c>
      <c r="J31" s="87">
        <f>I31+1</f>
        <v>2023</v>
      </c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</row>
    <row r="32" spans="1:22" s="89" customFormat="1" ht="14.5" customHeight="1" x14ac:dyDescent="0.2">
      <c r="B32" t="s">
        <v>177</v>
      </c>
      <c r="C32"/>
      <c r="D32" s="96"/>
      <c r="E32" s="138">
        <f>'CFS - Annual'!B12</f>
        <v>13.91</v>
      </c>
      <c r="F32" s="138">
        <f>'CFS - Annual'!C12</f>
        <v>12.255000000000001</v>
      </c>
      <c r="G32" s="138">
        <f>'CFS - Annual'!D12</f>
        <v>13.871</v>
      </c>
      <c r="H32" s="138">
        <f>'CFS - Annual'!E12</f>
        <v>14.897</v>
      </c>
      <c r="I32" s="138">
        <f>'CFS - Annual'!F12</f>
        <v>22.521999999999998</v>
      </c>
      <c r="J32" s="138">
        <f>'CFS - Annual'!G12</f>
        <v>33.353999999999999</v>
      </c>
      <c r="K32" s="90"/>
      <c r="L32" s="90"/>
      <c r="M32" s="90"/>
      <c r="N32" s="90"/>
      <c r="O32" s="97"/>
      <c r="P32" s="97"/>
      <c r="Q32" s="97"/>
      <c r="R32" s="98"/>
      <c r="S32" s="98"/>
    </row>
    <row r="33" spans="1:21" s="89" customFormat="1" ht="15" customHeight="1" x14ac:dyDescent="0.2">
      <c r="A33" s="95"/>
      <c r="B33" t="s">
        <v>173</v>
      </c>
      <c r="C33"/>
      <c r="D33" s="96"/>
      <c r="E33" s="94">
        <f t="shared" ref="E33:J33" si="3">E32/E22</f>
        <v>2.3362092276065696E-2</v>
      </c>
      <c r="F33" s="94">
        <f t="shared" si="3"/>
        <v>1.6503827999272785E-2</v>
      </c>
      <c r="G33" s="94">
        <f t="shared" si="3"/>
        <v>1.2694557292071827E-2</v>
      </c>
      <c r="H33" s="94">
        <f t="shared" si="3"/>
        <v>9.6615255702583013E-3</v>
      </c>
      <c r="I33" s="94">
        <f t="shared" si="3"/>
        <v>1.1817169157828624E-2</v>
      </c>
      <c r="J33" s="94">
        <f t="shared" si="3"/>
        <v>1.4990480950215098E-2</v>
      </c>
      <c r="K33" s="94"/>
      <c r="L33" s="94"/>
      <c r="M33" s="94"/>
      <c r="N33" s="94"/>
      <c r="O33" s="96"/>
      <c r="P33" s="96"/>
      <c r="Q33" s="96"/>
      <c r="R33" s="96"/>
      <c r="S33" s="96"/>
    </row>
    <row r="34" spans="1:21" s="89" customFormat="1" x14ac:dyDescent="0.2">
      <c r="A34" s="95"/>
      <c r="B34"/>
      <c r="C34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</row>
    <row r="35" spans="1:21" s="89" customFormat="1" x14ac:dyDescent="0.2">
      <c r="A35" s="95"/>
      <c r="B35" t="s">
        <v>178</v>
      </c>
      <c r="C35"/>
      <c r="D35" s="96"/>
      <c r="E35" s="139">
        <f>'CFS - Annual'!B25</f>
        <v>-15.404</v>
      </c>
      <c r="F35" s="139">
        <f>'CFS - Annual'!C25</f>
        <v>-13.096</v>
      </c>
      <c r="G35" s="139">
        <f>'CFS - Annual'!D25</f>
        <v>-12.236000000000001</v>
      </c>
      <c r="H35" s="139">
        <f>'CFS - Annual'!E25</f>
        <v>-12.627000000000001</v>
      </c>
      <c r="I35" s="139">
        <f>'CFS - Annual'!F25</f>
        <v>-40.027000000000001</v>
      </c>
      <c r="J35" s="139">
        <f>'CFS - Annual'!G25</f>
        <v>-15.114000000000001</v>
      </c>
      <c r="K35" s="90"/>
      <c r="L35" s="90"/>
      <c r="M35" s="90"/>
      <c r="N35" s="90"/>
      <c r="O35" s="90"/>
      <c r="P35" s="90"/>
      <c r="Q35" s="90"/>
      <c r="R35" s="96"/>
      <c r="S35" s="96"/>
    </row>
    <row r="36" spans="1:21" s="89" customFormat="1" x14ac:dyDescent="0.2">
      <c r="A36" s="95"/>
      <c r="B36" s="99" t="s">
        <v>173</v>
      </c>
      <c r="C36" s="99"/>
      <c r="D36" s="96"/>
      <c r="E36" s="94">
        <f t="shared" ref="E36:J36" si="4">E35/E22</f>
        <v>-2.5871291834688424E-2</v>
      </c>
      <c r="F36" s="94">
        <f t="shared" si="4"/>
        <v>-1.763640403741137E-2</v>
      </c>
      <c r="G36" s="94">
        <f t="shared" si="4"/>
        <v>-1.1198226733890194E-2</v>
      </c>
      <c r="H36" s="94">
        <f t="shared" si="4"/>
        <v>-8.1893054558402067E-3</v>
      </c>
      <c r="I36" s="94">
        <f t="shared" si="4"/>
        <v>-2.1001946091839373E-2</v>
      </c>
      <c r="J36" s="94">
        <f t="shared" si="4"/>
        <v>-6.792772353587306E-3</v>
      </c>
      <c r="K36" s="94"/>
      <c r="L36" s="94"/>
      <c r="M36" s="94"/>
      <c r="N36" s="94"/>
      <c r="O36" s="93"/>
      <c r="P36" s="93"/>
      <c r="Q36" s="93"/>
      <c r="R36" s="96"/>
      <c r="S36" s="96"/>
    </row>
    <row r="37" spans="1:21" s="89" customFormat="1" x14ac:dyDescent="0.2">
      <c r="A37" s="95"/>
      <c r="B37"/>
      <c r="C37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100"/>
      <c r="P37" s="96"/>
      <c r="Q37" s="96"/>
      <c r="R37" s="96"/>
      <c r="S37" s="96"/>
    </row>
    <row r="38" spans="1:21" s="89" customFormat="1" x14ac:dyDescent="0.2">
      <c r="A38" s="95"/>
      <c r="B38" t="s">
        <v>179</v>
      </c>
      <c r="C38"/>
      <c r="D38" s="96"/>
      <c r="E38" s="139">
        <f>'CFS - Annual'!B18</f>
        <v>302.57499999999999</v>
      </c>
      <c r="F38" s="139">
        <f>'CFS - Annual'!C18</f>
        <v>134.02699999999999</v>
      </c>
      <c r="G38" s="139">
        <f>'CFS - Annual'!D18</f>
        <v>-454.11900000000003</v>
      </c>
      <c r="H38" s="139">
        <f>'CFS - Annual'!E18</f>
        <v>-92.052000000000007</v>
      </c>
      <c r="I38" s="139">
        <f>'CFS - Annual'!F18</f>
        <v>-267.10300000000001</v>
      </c>
      <c r="J38" s="139">
        <f>'CFS - Annual'!G18</f>
        <v>6.2359999999999998</v>
      </c>
      <c r="K38" s="90"/>
      <c r="L38" s="90"/>
      <c r="M38" s="90"/>
      <c r="N38" s="90"/>
      <c r="O38" s="96"/>
      <c r="P38" s="96"/>
      <c r="Q38" s="96"/>
      <c r="R38" s="96"/>
      <c r="S38" s="96"/>
    </row>
    <row r="39" spans="1:21" s="162" customFormat="1" x14ac:dyDescent="0.2">
      <c r="A39" s="158"/>
      <c r="B39" s="159" t="s">
        <v>173</v>
      </c>
      <c r="C39" s="159"/>
      <c r="D39" s="160"/>
      <c r="E39" s="94">
        <f t="shared" ref="E39:J39" si="5">E38/E22</f>
        <v>0.50818009133217668</v>
      </c>
      <c r="F39" s="94">
        <f t="shared" si="5"/>
        <v>0.18049437415410305</v>
      </c>
      <c r="G39" s="94">
        <f t="shared" si="5"/>
        <v>-0.41560375336445582</v>
      </c>
      <c r="H39" s="94">
        <f t="shared" si="5"/>
        <v>-5.9700795582561396E-2</v>
      </c>
      <c r="I39" s="94">
        <f t="shared" si="5"/>
        <v>-0.14014747063153801</v>
      </c>
      <c r="J39" s="94">
        <f t="shared" si="5"/>
        <v>2.8026815136277913E-3</v>
      </c>
      <c r="K39" s="161"/>
      <c r="L39" s="161"/>
      <c r="M39" s="161"/>
      <c r="N39" s="161"/>
      <c r="O39" s="160"/>
      <c r="P39" s="160"/>
      <c r="Q39" s="160"/>
      <c r="R39" s="160"/>
      <c r="S39" s="160"/>
    </row>
    <row r="40" spans="1:21" x14ac:dyDescent="0.2">
      <c r="A40" s="35"/>
      <c r="B40" s="99" t="s">
        <v>180</v>
      </c>
      <c r="C40" s="99"/>
      <c r="E40" s="131" t="str">
        <f>E23</f>
        <v>--</v>
      </c>
      <c r="F40" s="92">
        <f>F38/(F22-E22)</f>
        <v>0.91084365188316385</v>
      </c>
      <c r="G40" s="92">
        <f>G38/(G22-F22)</f>
        <v>-1.2970455674943875</v>
      </c>
      <c r="H40" s="92">
        <f>H38/(H22-G22)</f>
        <v>-0.20491701097022375</v>
      </c>
      <c r="I40" s="92">
        <f>I38/(I22-H22)</f>
        <v>-0.73383573912995659</v>
      </c>
      <c r="J40" s="92">
        <f>J38/(J22-I22)</f>
        <v>1.9539952560153655E-2</v>
      </c>
      <c r="K40" s="92"/>
      <c r="L40" s="92"/>
      <c r="M40" s="92"/>
      <c r="N40" s="92"/>
    </row>
    <row r="42" spans="1:21" x14ac:dyDescent="0.2">
      <c r="A42" s="35"/>
      <c r="B42" s="36" t="s">
        <v>181</v>
      </c>
      <c r="C42" s="36"/>
      <c r="D42" s="36"/>
      <c r="E42" s="87">
        <v>2018</v>
      </c>
      <c r="F42" s="87">
        <f>E42+1</f>
        <v>2019</v>
      </c>
      <c r="G42" s="87">
        <f t="shared" ref="G42:P42" si="6">F42+1</f>
        <v>2020</v>
      </c>
      <c r="H42" s="87">
        <f t="shared" si="6"/>
        <v>2021</v>
      </c>
      <c r="I42" s="87">
        <f t="shared" si="6"/>
        <v>2022</v>
      </c>
      <c r="J42" s="87">
        <f t="shared" si="6"/>
        <v>2023</v>
      </c>
      <c r="K42" s="88">
        <f t="shared" si="6"/>
        <v>2024</v>
      </c>
      <c r="L42" s="88">
        <f t="shared" si="6"/>
        <v>2025</v>
      </c>
      <c r="M42" s="88">
        <f t="shared" si="6"/>
        <v>2026</v>
      </c>
      <c r="N42" s="88">
        <f t="shared" si="6"/>
        <v>2027</v>
      </c>
      <c r="O42" s="88">
        <f t="shared" si="6"/>
        <v>2028</v>
      </c>
      <c r="P42" s="88">
        <f t="shared" si="6"/>
        <v>2029</v>
      </c>
      <c r="Q42" s="135"/>
      <c r="R42" s="135"/>
      <c r="S42" s="135"/>
      <c r="T42" s="135"/>
      <c r="U42" s="135"/>
    </row>
    <row r="43" spans="1:21" x14ac:dyDescent="0.2">
      <c r="B43" t="s">
        <v>167</v>
      </c>
      <c r="E43" s="101">
        <f>DCF!E22</f>
        <v>595.40899999999999</v>
      </c>
      <c r="F43" s="101">
        <f>DCF!F22</f>
        <v>742.55499999999995</v>
      </c>
      <c r="G43" s="101">
        <f>DCF!G22</f>
        <v>1092.673</v>
      </c>
      <c r="H43" s="101">
        <f>DCF!H22</f>
        <v>1541.8889999999999</v>
      </c>
      <c r="I43" s="101">
        <f>DCF!I22</f>
        <v>1905.8710000000001</v>
      </c>
      <c r="J43" s="101">
        <f>DCF!J22</f>
        <v>2225.0120000000002</v>
      </c>
      <c r="K43" s="102">
        <f t="shared" ref="K43:P43" ca="1" si="7">J43*(1+K44)</f>
        <v>2854.0102400000001</v>
      </c>
      <c r="L43" s="102">
        <f t="shared" ca="1" si="7"/>
        <v>3640.0838406940993</v>
      </c>
      <c r="M43" s="102">
        <f t="shared" ca="1" si="7"/>
        <v>4542.4059116669541</v>
      </c>
      <c r="N43" s="102">
        <f t="shared" ca="1" si="7"/>
        <v>5555.8006464898217</v>
      </c>
      <c r="O43" s="102">
        <f t="shared" ca="1" si="7"/>
        <v>6671.3322192133392</v>
      </c>
      <c r="P43" s="102">
        <f t="shared" ca="1" si="7"/>
        <v>7876.896273176626</v>
      </c>
      <c r="Q43" s="102"/>
      <c r="R43" s="102"/>
      <c r="S43" s="102"/>
      <c r="T43" s="102"/>
      <c r="U43" s="102"/>
    </row>
    <row r="44" spans="1:21" ht="14.5" customHeight="1" x14ac:dyDescent="0.2">
      <c r="B44" s="91" t="s">
        <v>171</v>
      </c>
      <c r="E44" s="114" t="str">
        <f t="shared" ref="E44:J44" si="8">E23</f>
        <v>--</v>
      </c>
      <c r="F44" s="114">
        <f t="shared" si="8"/>
        <v>0.24713432279323944</v>
      </c>
      <c r="G44" s="114">
        <f t="shared" si="8"/>
        <v>0.47150446768252863</v>
      </c>
      <c r="H44" s="114">
        <f t="shared" si="8"/>
        <v>0.41111659206368234</v>
      </c>
      <c r="I44" s="114">
        <f t="shared" si="8"/>
        <v>0.23606238840798532</v>
      </c>
      <c r="J44" s="114">
        <f t="shared" si="8"/>
        <v>0.16745152216493153</v>
      </c>
      <c r="K44" s="94">
        <f t="shared" ref="K44:P44" ca="1" si="9">OFFSET(K44,$E$12,0)</f>
        <v>0.28269431355875829</v>
      </c>
      <c r="L44" s="94">
        <f t="shared" ca="1" si="9"/>
        <v>0.27542774362789235</v>
      </c>
      <c r="M44" s="94">
        <f t="shared" ca="1" si="9"/>
        <v>0.24788496926510312</v>
      </c>
      <c r="N44" s="94">
        <f t="shared" ca="1" si="9"/>
        <v>0.22309647233859281</v>
      </c>
      <c r="O44" s="94">
        <f t="shared" ca="1" si="9"/>
        <v>0.20078682510473353</v>
      </c>
      <c r="P44" s="94">
        <f t="shared" ca="1" si="9"/>
        <v>0.18070814259426018</v>
      </c>
      <c r="Q44" s="94"/>
      <c r="R44" s="94"/>
      <c r="S44" s="94"/>
      <c r="T44" s="94"/>
      <c r="U44" s="94"/>
    </row>
    <row r="45" spans="1:21" x14ac:dyDescent="0.2">
      <c r="B45" s="91" t="s">
        <v>162</v>
      </c>
      <c r="K45" s="181">
        <f>K23-1%</f>
        <v>0.25269431355875827</v>
      </c>
      <c r="L45" s="182">
        <f>L46*J12</f>
        <v>0.23786941495136155</v>
      </c>
      <c r="M45" s="182">
        <f>L45*$J$13</f>
        <v>0.16650859046595307</v>
      </c>
      <c r="N45" s="182">
        <f>M45*$J$13</f>
        <v>0.11655601332616713</v>
      </c>
      <c r="O45" s="182">
        <f>N45*$J$13</f>
        <v>8.1589209328316994E-2</v>
      </c>
      <c r="P45" s="183">
        <f>O45*$J$13</f>
        <v>5.7112446529821892E-2</v>
      </c>
      <c r="Q45" s="140"/>
      <c r="R45" s="140"/>
      <c r="S45" s="140"/>
      <c r="T45" s="140"/>
      <c r="U45" s="140"/>
    </row>
    <row r="46" spans="1:21" x14ac:dyDescent="0.2">
      <c r="B46" s="91" t="s">
        <v>182</v>
      </c>
      <c r="K46" s="184">
        <f>$K$23</f>
        <v>0.26269431355875827</v>
      </c>
      <c r="L46" s="185">
        <f>L23</f>
        <v>0.25038885784353848</v>
      </c>
      <c r="M46" s="186">
        <f>L46*$O$13</f>
        <v>0.2128305291670077</v>
      </c>
      <c r="N46" s="186">
        <f>M46*$O$13</f>
        <v>0.18090594979195654</v>
      </c>
      <c r="O46" s="186">
        <f>N46*$O$13</f>
        <v>0.15377005732316307</v>
      </c>
      <c r="P46" s="187">
        <f>O46*$O$13</f>
        <v>0.13070454872468859</v>
      </c>
      <c r="Q46" s="141"/>
      <c r="R46" s="141"/>
      <c r="S46" s="141"/>
      <c r="T46" s="141"/>
      <c r="U46" s="141"/>
    </row>
    <row r="47" spans="1:21" x14ac:dyDescent="0.2">
      <c r="B47" s="91" t="s">
        <v>164</v>
      </c>
      <c r="K47" s="188">
        <f>$K$23+2%</f>
        <v>0.28269431355875829</v>
      </c>
      <c r="L47" s="189">
        <f>L46*T12</f>
        <v>0.27542774362789235</v>
      </c>
      <c r="M47" s="189">
        <f>L47*$T$13</f>
        <v>0.24788496926510312</v>
      </c>
      <c r="N47" s="189">
        <f>M47*$T$13</f>
        <v>0.22309647233859281</v>
      </c>
      <c r="O47" s="189">
        <f>N47*$T$13</f>
        <v>0.20078682510473353</v>
      </c>
      <c r="P47" s="190">
        <f>O47*$T$13</f>
        <v>0.18070814259426018</v>
      </c>
      <c r="Q47" s="140"/>
      <c r="R47" s="191" t="s">
        <v>203</v>
      </c>
      <c r="S47" s="140"/>
      <c r="T47" s="140"/>
      <c r="U47" s="140"/>
    </row>
    <row r="49" spans="2:22" x14ac:dyDescent="0.2">
      <c r="B49" t="s">
        <v>2</v>
      </c>
      <c r="E49" s="149">
        <f t="shared" ref="E49:J50" si="10">E25</f>
        <v>-623.44000000000005</v>
      </c>
      <c r="F49" s="149">
        <f t="shared" si="10"/>
        <v>-576.44399999999996</v>
      </c>
      <c r="G49" s="149">
        <f t="shared" si="10"/>
        <v>-1173.6790000000001</v>
      </c>
      <c r="H49" s="149">
        <f t="shared" si="10"/>
        <v>-411.04599999999999</v>
      </c>
      <c r="I49" s="149">
        <f t="shared" si="10"/>
        <v>-161.20099999999999</v>
      </c>
      <c r="J49" s="149">
        <f t="shared" si="10"/>
        <v>119.96599999999999</v>
      </c>
      <c r="K49" s="102">
        <f t="shared" ref="K49:P49" ca="1" si="11">K50*K43</f>
        <v>1107.4628597149765</v>
      </c>
      <c r="L49" s="102">
        <f t="shared" ca="1" si="11"/>
        <v>1450.3184630354531</v>
      </c>
      <c r="M49" s="102">
        <f t="shared" ca="1" si="11"/>
        <v>1857.037608285571</v>
      </c>
      <c r="N49" s="102">
        <f t="shared" ca="1" si="11"/>
        <v>2329.0748599479602</v>
      </c>
      <c r="O49" s="102">
        <f t="shared" ca="1" si="11"/>
        <v>2866.0542914810162</v>
      </c>
      <c r="P49" s="102">
        <f t="shared" ca="1" si="11"/>
        <v>3465.8343601977153</v>
      </c>
      <c r="Q49" s="102"/>
      <c r="R49" s="102"/>
      <c r="S49" s="102"/>
      <c r="T49" s="102"/>
      <c r="U49" s="102"/>
    </row>
    <row r="50" spans="2:22" x14ac:dyDescent="0.2">
      <c r="B50" s="91" t="s">
        <v>173</v>
      </c>
      <c r="E50" s="150">
        <f t="shared" si="10"/>
        <v>-1.0470785628030481</v>
      </c>
      <c r="F50" s="150">
        <f t="shared" si="10"/>
        <v>-0.77629805199614843</v>
      </c>
      <c r="G50" s="150">
        <f t="shared" si="10"/>
        <v>-1.0741356288660926</v>
      </c>
      <c r="H50" s="150">
        <f t="shared" si="10"/>
        <v>-0.26658598641017611</v>
      </c>
      <c r="I50" s="150">
        <f t="shared" si="10"/>
        <v>-8.4581275437844425E-2</v>
      </c>
      <c r="J50" s="150">
        <f t="shared" si="10"/>
        <v>5.3917012582404042E-2</v>
      </c>
      <c r="K50" s="103">
        <f t="shared" ref="K50:P50" ca="1" si="12">OFFSET(K50,$E$13,0)</f>
        <v>0.38803745137052365</v>
      </c>
      <c r="L50" s="103">
        <f t="shared" ca="1" si="12"/>
        <v>0.39842996109641893</v>
      </c>
      <c r="M50" s="103">
        <f t="shared" ca="1" si="12"/>
        <v>0.40882247082231421</v>
      </c>
      <c r="N50" s="103">
        <f t="shared" ca="1" si="12"/>
        <v>0.41921498054820949</v>
      </c>
      <c r="O50" s="103">
        <f t="shared" ca="1" si="12"/>
        <v>0.42960749027410478</v>
      </c>
      <c r="P50" s="103">
        <f t="shared" ca="1" si="12"/>
        <v>0.44</v>
      </c>
      <c r="Q50" s="103"/>
      <c r="R50" s="103"/>
      <c r="S50" s="103"/>
      <c r="T50" s="103"/>
      <c r="U50" s="103"/>
    </row>
    <row r="51" spans="2:22" x14ac:dyDescent="0.2">
      <c r="B51" s="91" t="s">
        <v>162</v>
      </c>
      <c r="K51" s="143">
        <f>K52-1%</f>
        <v>0.36803745137052363</v>
      </c>
      <c r="L51" s="144">
        <f>K51+(($P51-K$51)/($P$42-$K$42))</f>
        <v>0.37642996109641891</v>
      </c>
      <c r="M51" s="144">
        <f>L51+(($P51-L$51)/($P$42-$K$42))</f>
        <v>0.38314396887713514</v>
      </c>
      <c r="N51" s="144">
        <f>M51+(($P51-M$51)/($P$42-$K$42))</f>
        <v>0.38851517510170813</v>
      </c>
      <c r="O51" s="144">
        <f>N51+(($P51-N$51)/($P$42-$K$42))</f>
        <v>0.3928121400813665</v>
      </c>
      <c r="P51" s="151">
        <f>J14</f>
        <v>0.41</v>
      </c>
      <c r="Q51" s="140"/>
      <c r="R51" s="140"/>
      <c r="S51" s="140"/>
      <c r="T51" s="140"/>
      <c r="U51" s="142"/>
    </row>
    <row r="52" spans="2:22" x14ac:dyDescent="0.2">
      <c r="B52" s="91" t="s">
        <v>182</v>
      </c>
      <c r="K52" s="145">
        <f>K26</f>
        <v>0.37803745137052364</v>
      </c>
      <c r="L52" s="104">
        <f>K52+(($P52-$K52)/($P$42-$K$42))</f>
        <v>0.38742996109641892</v>
      </c>
      <c r="M52" s="104">
        <f>L52+(($P52-$K52)/($P$42-$K$42))</f>
        <v>0.3968224708223142</v>
      </c>
      <c r="N52" s="104">
        <f>M52+(($P52-$K52)/($P$42-$K$42))</f>
        <v>0.40621498054820948</v>
      </c>
      <c r="O52" s="104">
        <f>N52+(($P52-$K52)/($P$42-$K$42))</f>
        <v>0.41560749027410476</v>
      </c>
      <c r="P52" s="152">
        <f>O14</f>
        <v>0.42499999999999999</v>
      </c>
      <c r="Q52" s="140"/>
      <c r="R52" s="140"/>
      <c r="S52" s="140"/>
      <c r="T52" s="140"/>
      <c r="U52" s="142"/>
    </row>
    <row r="53" spans="2:22" x14ac:dyDescent="0.2">
      <c r="B53" s="91" t="s">
        <v>164</v>
      </c>
      <c r="K53" s="146">
        <f>K52+1%</f>
        <v>0.38803745137052365</v>
      </c>
      <c r="L53" s="147">
        <f>K53+(($P53-$K53)/($P$42-$K$42))</f>
        <v>0.39842996109641893</v>
      </c>
      <c r="M53" s="147">
        <f t="shared" ref="M53:O56" si="13">L53+(($P53-$K53)/($P$42-$K$42))</f>
        <v>0.40882247082231421</v>
      </c>
      <c r="N53" s="147">
        <f t="shared" si="13"/>
        <v>0.41921498054820949</v>
      </c>
      <c r="O53" s="147">
        <f t="shared" si="13"/>
        <v>0.42960749027410478</v>
      </c>
      <c r="P53" s="153">
        <f>T14</f>
        <v>0.44</v>
      </c>
      <c r="Q53" s="140"/>
      <c r="R53" s="140"/>
      <c r="S53" s="140"/>
      <c r="T53" s="140"/>
      <c r="U53" s="142"/>
    </row>
    <row r="54" spans="2:22" x14ac:dyDescent="0.2">
      <c r="B54" s="91"/>
    </row>
    <row r="55" spans="2:22" x14ac:dyDescent="0.2">
      <c r="B55" t="s">
        <v>174</v>
      </c>
      <c r="E55" s="105">
        <f t="shared" ref="E55:J56" si="14">E28</f>
        <v>9.1020000000000003</v>
      </c>
      <c r="F55" s="105">
        <f t="shared" si="14"/>
        <v>12.375</v>
      </c>
      <c r="G55" s="105">
        <f t="shared" si="14"/>
        <v>-12.635999999999999</v>
      </c>
      <c r="H55" s="105">
        <f t="shared" si="14"/>
        <v>31.885000000000002</v>
      </c>
      <c r="I55" s="105">
        <f t="shared" si="14"/>
        <v>10.067</v>
      </c>
      <c r="J55" s="105">
        <f t="shared" si="14"/>
        <v>19.716000000000001</v>
      </c>
      <c r="K55" s="106">
        <f t="shared" ref="K55:P55" ca="1" si="15">K56*K49</f>
        <v>155.04480036009673</v>
      </c>
      <c r="L55" s="106">
        <f t="shared" ca="1" si="15"/>
        <v>223.34904330745977</v>
      </c>
      <c r="M55" s="106">
        <f t="shared" ca="1" si="15"/>
        <v>311.98231819197588</v>
      </c>
      <c r="N55" s="106">
        <f t="shared" ca="1" si="15"/>
        <v>423.89162451052869</v>
      </c>
      <c r="O55" s="106">
        <f t="shared" ca="1" si="15"/>
        <v>561.74664113027904</v>
      </c>
      <c r="P55" s="106">
        <f t="shared" ca="1" si="15"/>
        <v>727.82521564152023</v>
      </c>
      <c r="Q55" s="106"/>
      <c r="R55" s="106"/>
      <c r="S55" s="106"/>
      <c r="T55" s="106"/>
      <c r="U55" s="106"/>
    </row>
    <row r="56" spans="2:22" x14ac:dyDescent="0.2">
      <c r="B56" s="91" t="s">
        <v>175</v>
      </c>
      <c r="E56" s="114">
        <f t="shared" si="14"/>
        <v>-1.5942549371633755E-2</v>
      </c>
      <c r="F56" s="114">
        <f t="shared" si="14"/>
        <v>-2.1814970269941527E-2</v>
      </c>
      <c r="G56" s="114">
        <f t="shared" si="14"/>
        <v>1.0717311817286626E-2</v>
      </c>
      <c r="H56" s="114">
        <f t="shared" si="14"/>
        <v>-6.527204018882525E-2</v>
      </c>
      <c r="I56" s="114">
        <f t="shared" si="14"/>
        <v>-2.7884341060363908E-2</v>
      </c>
      <c r="J56" s="114">
        <f t="shared" si="14"/>
        <v>8.3157943574408144E-2</v>
      </c>
      <c r="K56" s="168">
        <v>0.14000000000000001</v>
      </c>
      <c r="L56" s="169">
        <f>K56+(($P56-$K56)/($P$42-$K$42))</f>
        <v>0.154</v>
      </c>
      <c r="M56" s="169">
        <f t="shared" si="13"/>
        <v>0.16799999999999998</v>
      </c>
      <c r="N56" s="169">
        <f t="shared" si="13"/>
        <v>0.18199999999999997</v>
      </c>
      <c r="O56" s="169">
        <f t="shared" si="13"/>
        <v>0.19599999999999995</v>
      </c>
      <c r="P56" s="170">
        <v>0.21</v>
      </c>
      <c r="Q56" s="140"/>
      <c r="R56" s="140"/>
      <c r="S56" s="140" t="s">
        <v>201</v>
      </c>
      <c r="T56" s="140"/>
      <c r="U56" s="142"/>
      <c r="V56" s="140"/>
    </row>
    <row r="58" spans="2:22" ht="15" customHeight="1" x14ac:dyDescent="0.2">
      <c r="B58" s="119" t="s">
        <v>183</v>
      </c>
      <c r="C58" s="120"/>
      <c r="D58" s="120"/>
      <c r="E58" s="195"/>
      <c r="F58" s="195"/>
      <c r="G58" s="195"/>
      <c r="H58" s="195"/>
      <c r="I58" s="195"/>
      <c r="J58" s="195"/>
      <c r="K58" s="121">
        <f ca="1">K49-K55</f>
        <v>952.4180593548798</v>
      </c>
      <c r="L58" s="121">
        <f t="shared" ref="L58:P58" ca="1" si="16">L49-L55</f>
        <v>1226.9694197279932</v>
      </c>
      <c r="M58" s="121">
        <f t="shared" ca="1" si="16"/>
        <v>1545.055290093595</v>
      </c>
      <c r="N58" s="121">
        <f t="shared" ca="1" si="16"/>
        <v>1905.1832354374314</v>
      </c>
      <c r="O58" s="121">
        <f t="shared" ca="1" si="16"/>
        <v>2304.3076503507373</v>
      </c>
      <c r="P58" s="121">
        <f t="shared" ca="1" si="16"/>
        <v>2738.0091445561952</v>
      </c>
      <c r="Q58" s="40"/>
      <c r="R58" s="40"/>
      <c r="S58" s="40"/>
      <c r="T58" s="40"/>
      <c r="U58" s="40"/>
    </row>
    <row r="60" spans="2:22" x14ac:dyDescent="0.2">
      <c r="B60" t="s">
        <v>177</v>
      </c>
      <c r="E60" s="154">
        <f t="shared" ref="E60:J60" si="17">E32</f>
        <v>13.91</v>
      </c>
      <c r="F60" s="154">
        <f t="shared" si="17"/>
        <v>12.255000000000001</v>
      </c>
      <c r="G60" s="154">
        <f t="shared" si="17"/>
        <v>13.871</v>
      </c>
      <c r="H60" s="154">
        <f t="shared" si="17"/>
        <v>14.897</v>
      </c>
      <c r="I60" s="154">
        <f t="shared" si="17"/>
        <v>22.521999999999998</v>
      </c>
      <c r="J60" s="154">
        <f t="shared" si="17"/>
        <v>33.353999999999999</v>
      </c>
      <c r="K60" s="102">
        <f t="shared" ref="K60:P60" ca="1" si="18">K61*K$43</f>
        <v>37.483178288639166</v>
      </c>
      <c r="L60" s="102">
        <f t="shared" ca="1" si="18"/>
        <v>45.353439088467731</v>
      </c>
      <c r="M60" s="102">
        <f t="shared" ca="1" si="18"/>
        <v>56.382283513674736</v>
      </c>
      <c r="N60" s="102">
        <f t="shared" ca="1" si="18"/>
        <v>72.017664479700159</v>
      </c>
      <c r="O60" s="102">
        <f t="shared" ca="1" si="18"/>
        <v>88.006182949941277</v>
      </c>
      <c r="P60" s="102">
        <f t="shared" ca="1" si="18"/>
        <v>101.07584746318808</v>
      </c>
      <c r="Q60" s="102"/>
      <c r="R60" s="102"/>
      <c r="S60" s="102"/>
      <c r="T60" s="102"/>
      <c r="U60" s="102"/>
    </row>
    <row r="61" spans="2:22" s="99" customFormat="1" x14ac:dyDescent="0.2">
      <c r="B61" s="99" t="s">
        <v>173</v>
      </c>
      <c r="E61" s="155">
        <f t="shared" ref="E61:J61" si="19">E33</f>
        <v>2.3362092276065696E-2</v>
      </c>
      <c r="F61" s="155">
        <f t="shared" si="19"/>
        <v>1.6503827999272785E-2</v>
      </c>
      <c r="G61" s="155">
        <f t="shared" si="19"/>
        <v>1.2694557292071827E-2</v>
      </c>
      <c r="H61" s="155">
        <f t="shared" si="19"/>
        <v>9.6615255702583013E-3</v>
      </c>
      <c r="I61" s="155">
        <f t="shared" si="19"/>
        <v>1.1817169157828624E-2</v>
      </c>
      <c r="J61" s="155">
        <f t="shared" si="19"/>
        <v>1.4990480950215098E-2</v>
      </c>
      <c r="K61" s="107">
        <f t="shared" ref="K61:P61" si="20">AVERAGE(F61:J61)</f>
        <v>1.3133512193929327E-2</v>
      </c>
      <c r="L61" s="107">
        <f t="shared" si="20"/>
        <v>1.2459449032860637E-2</v>
      </c>
      <c r="M61" s="107">
        <f t="shared" si="20"/>
        <v>1.2412427381018398E-2</v>
      </c>
      <c r="N61" s="107">
        <f t="shared" si="20"/>
        <v>1.2962607743170415E-2</v>
      </c>
      <c r="O61" s="107">
        <f t="shared" si="20"/>
        <v>1.3191695460238776E-2</v>
      </c>
      <c r="P61" s="107">
        <f t="shared" si="20"/>
        <v>1.2831938362243511E-2</v>
      </c>
      <c r="Q61" s="108"/>
      <c r="R61" s="108"/>
      <c r="S61" s="108"/>
      <c r="T61" s="108"/>
      <c r="U61" s="108"/>
    </row>
    <row r="62" spans="2:22" x14ac:dyDescent="0.2">
      <c r="E62" s="156"/>
      <c r="F62" s="156"/>
      <c r="G62" s="156"/>
      <c r="H62" s="156"/>
      <c r="I62" s="156"/>
      <c r="J62" s="156"/>
    </row>
    <row r="63" spans="2:22" x14ac:dyDescent="0.2">
      <c r="B63" t="s">
        <v>178</v>
      </c>
      <c r="E63" s="157">
        <f t="shared" ref="E63:J63" si="21">E35</f>
        <v>-15.404</v>
      </c>
      <c r="F63" s="157">
        <f t="shared" si="21"/>
        <v>-13.096</v>
      </c>
      <c r="G63" s="157">
        <f t="shared" si="21"/>
        <v>-12.236000000000001</v>
      </c>
      <c r="H63" s="157">
        <f t="shared" si="21"/>
        <v>-12.627000000000001</v>
      </c>
      <c r="I63" s="157">
        <f t="shared" si="21"/>
        <v>-40.027000000000001</v>
      </c>
      <c r="J63" s="157">
        <f t="shared" si="21"/>
        <v>-15.114000000000001</v>
      </c>
      <c r="K63" s="102">
        <f t="shared" ref="K63:P63" ca="1" si="22">K64*K$43</f>
        <v>-36.998620835706845</v>
      </c>
      <c r="L63" s="102">
        <f t="shared" ca="1" si="22"/>
        <v>-43.787283118888737</v>
      </c>
      <c r="M63" s="102">
        <f t="shared" ca="1" si="22"/>
        <v>-55.396412675578247</v>
      </c>
      <c r="N63" s="102">
        <f t="shared" ca="1" si="22"/>
        <v>-72.206558599283269</v>
      </c>
      <c r="O63" s="102">
        <f t="shared" ca="1" si="22"/>
        <v>-76.023429176872781</v>
      </c>
      <c r="P63" s="102">
        <f t="shared" ca="1" si="22"/>
        <v>-97.012585581184297</v>
      </c>
      <c r="Q63" s="102"/>
      <c r="R63" s="102"/>
      <c r="S63" s="102"/>
      <c r="T63" s="102"/>
      <c r="U63" s="102"/>
    </row>
    <row r="64" spans="2:22" s="99" customFormat="1" x14ac:dyDescent="0.2">
      <c r="B64" s="99" t="s">
        <v>173</v>
      </c>
      <c r="E64" s="114">
        <f t="shared" ref="E64:J64" si="23">E36</f>
        <v>-2.5871291834688424E-2</v>
      </c>
      <c r="F64" s="114">
        <f t="shared" si="23"/>
        <v>-1.763640403741137E-2</v>
      </c>
      <c r="G64" s="114">
        <f t="shared" si="23"/>
        <v>-1.1198226733890194E-2</v>
      </c>
      <c r="H64" s="114">
        <f t="shared" si="23"/>
        <v>-8.1893054558402067E-3</v>
      </c>
      <c r="I64" s="114">
        <f t="shared" si="23"/>
        <v>-2.1001946091839373E-2</v>
      </c>
      <c r="J64" s="114">
        <f t="shared" si="23"/>
        <v>-6.792772353587306E-3</v>
      </c>
      <c r="K64" s="107">
        <f t="shared" ref="K64:P64" si="24">AVERAGE(F64:J64)</f>
        <v>-1.296373093451369E-2</v>
      </c>
      <c r="L64" s="107">
        <f t="shared" si="24"/>
        <v>-1.2029196313934154E-2</v>
      </c>
      <c r="M64" s="107">
        <f t="shared" si="24"/>
        <v>-1.2195390229942945E-2</v>
      </c>
      <c r="N64" s="107">
        <f t="shared" si="24"/>
        <v>-1.2996607184763493E-2</v>
      </c>
      <c r="O64" s="107">
        <f t="shared" si="24"/>
        <v>-1.1395539403348318E-2</v>
      </c>
      <c r="P64" s="107">
        <f t="shared" si="24"/>
        <v>-1.2316092813300521E-2</v>
      </c>
      <c r="Q64" s="108"/>
      <c r="R64" s="108"/>
      <c r="S64" s="108"/>
      <c r="T64" s="108"/>
      <c r="U64" s="108"/>
    </row>
    <row r="65" spans="2:21" x14ac:dyDescent="0.2">
      <c r="E65" s="156"/>
      <c r="F65" s="156"/>
      <c r="G65" s="156"/>
      <c r="H65" s="156"/>
      <c r="I65" s="156"/>
      <c r="J65" s="156"/>
    </row>
    <row r="66" spans="2:21" x14ac:dyDescent="0.2">
      <c r="B66" t="s">
        <v>179</v>
      </c>
      <c r="E66" s="157">
        <f t="shared" ref="E66:J66" si="25">E38</f>
        <v>302.57499999999999</v>
      </c>
      <c r="F66" s="157">
        <f t="shared" si="25"/>
        <v>134.02699999999999</v>
      </c>
      <c r="G66" s="157">
        <f t="shared" si="25"/>
        <v>-454.11900000000003</v>
      </c>
      <c r="H66" s="157">
        <f t="shared" si="25"/>
        <v>-92.052000000000007</v>
      </c>
      <c r="I66" s="157">
        <f t="shared" si="25"/>
        <v>-267.10300000000001</v>
      </c>
      <c r="J66" s="157">
        <f t="shared" si="25"/>
        <v>6.2359999999999998</v>
      </c>
      <c r="K66" s="102">
        <f t="shared" ref="K66:P66" ca="1" si="26">K67*K$43</f>
        <v>-310.34339350191891</v>
      </c>
      <c r="L66" s="102">
        <f t="shared" ca="1" si="26"/>
        <v>-557.5237388755196</v>
      </c>
      <c r="M66" s="102">
        <f t="shared" ca="1" si="26"/>
        <v>-347.24989344662163</v>
      </c>
      <c r="N66" s="102">
        <f t="shared" ca="1" si="26"/>
        <v>-554.53353930192009</v>
      </c>
      <c r="O66" s="102">
        <f t="shared" ca="1" si="26"/>
        <v>-559.63356502760473</v>
      </c>
      <c r="P66" s="102">
        <f t="shared" ca="1" si="26"/>
        <v>-862.8344864610101</v>
      </c>
      <c r="Q66" s="102"/>
      <c r="R66" s="102"/>
      <c r="S66" s="102"/>
      <c r="T66" s="102"/>
      <c r="U66" s="102"/>
    </row>
    <row r="67" spans="2:21" s="99" customFormat="1" x14ac:dyDescent="0.2">
      <c r="B67" s="99" t="s">
        <v>173</v>
      </c>
      <c r="E67" s="114">
        <f t="shared" ref="E67:J67" si="27">E39</f>
        <v>0.50818009133217668</v>
      </c>
      <c r="F67" s="114">
        <f t="shared" si="27"/>
        <v>0.18049437415410305</v>
      </c>
      <c r="G67" s="114">
        <f t="shared" si="27"/>
        <v>-0.41560375336445582</v>
      </c>
      <c r="H67" s="114">
        <f t="shared" si="27"/>
        <v>-5.9700795582561396E-2</v>
      </c>
      <c r="I67" s="114">
        <f t="shared" si="27"/>
        <v>-0.14014747063153801</v>
      </c>
      <c r="J67" s="114">
        <f t="shared" si="27"/>
        <v>2.8026815136277913E-3</v>
      </c>
      <c r="K67" s="107">
        <f t="shared" ref="K67:P67" si="28">AVERAGE(F67:I67)</f>
        <v>-0.10873941135611304</v>
      </c>
      <c r="L67" s="107">
        <f t="shared" si="28"/>
        <v>-0.15316233451623185</v>
      </c>
      <c r="M67" s="107">
        <f t="shared" si="28"/>
        <v>-7.6446249014146164E-2</v>
      </c>
      <c r="N67" s="107">
        <f t="shared" si="28"/>
        <v>-9.9811633747563772E-2</v>
      </c>
      <c r="O67" s="107">
        <f t="shared" si="28"/>
        <v>-8.3886328343215813E-2</v>
      </c>
      <c r="P67" s="107">
        <f t="shared" si="28"/>
        <v>-0.10953990715851369</v>
      </c>
      <c r="Q67" s="108"/>
      <c r="R67" s="108"/>
      <c r="S67" s="108"/>
      <c r="T67" s="108"/>
      <c r="U67" s="108"/>
    </row>
    <row r="69" spans="2:21" x14ac:dyDescent="0.2">
      <c r="B69" s="122" t="s">
        <v>184</v>
      </c>
      <c r="C69" s="123"/>
      <c r="D69" s="123"/>
      <c r="E69" s="123"/>
      <c r="F69" s="123"/>
      <c r="G69" s="123"/>
      <c r="H69" s="123"/>
      <c r="I69" s="123"/>
      <c r="J69" s="123"/>
      <c r="K69" s="124">
        <f t="shared" ref="K69:P69" ca="1" si="29">K58+K60-K63-K66</f>
        <v>1337.2432519811446</v>
      </c>
      <c r="L69" s="124">
        <f t="shared" ca="1" si="29"/>
        <v>1873.6338808108694</v>
      </c>
      <c r="M69" s="124">
        <f t="shared" ca="1" si="29"/>
        <v>2004.0838797294696</v>
      </c>
      <c r="N69" s="124">
        <f t="shared" ca="1" si="29"/>
        <v>2603.9409978183348</v>
      </c>
      <c r="O69" s="124">
        <f t="shared" ca="1" si="29"/>
        <v>3027.9708275051562</v>
      </c>
      <c r="P69" s="124">
        <f t="shared" ca="1" si="29"/>
        <v>3798.9320640615779</v>
      </c>
      <c r="Q69" s="148"/>
      <c r="R69" s="40"/>
      <c r="S69" s="40"/>
      <c r="T69" s="40"/>
      <c r="U69" s="40"/>
    </row>
    <row r="70" spans="2:21" x14ac:dyDescent="0.2">
      <c r="B70" s="125" t="s">
        <v>185</v>
      </c>
      <c r="C70" s="126"/>
      <c r="D70" s="126"/>
      <c r="E70" s="126"/>
      <c r="F70" s="126"/>
      <c r="G70" s="126"/>
      <c r="H70" s="126"/>
      <c r="I70" s="126"/>
      <c r="J70" s="126"/>
      <c r="K70" s="127">
        <f ca="1">(K69*K73)/(1+dr)^K72</f>
        <v>99.969653022098584</v>
      </c>
      <c r="L70" s="127">
        <f ca="1">L69/(1+dr)^L72</f>
        <v>1783.053994953988</v>
      </c>
      <c r="M70" s="127">
        <f ca="1">M69/(1+dr)^M72</f>
        <v>1749.7224352364258</v>
      </c>
      <c r="N70" s="127">
        <f ca="1">N69/(1+dr)^N72</f>
        <v>2085.7291325531028</v>
      </c>
      <c r="O70" s="127">
        <f ca="1">O69/(1+dr)^O72</f>
        <v>2225.1124134074207</v>
      </c>
      <c r="P70" s="127">
        <f ca="1">P69/(1+dr)^P72</f>
        <v>2561.1516770040935</v>
      </c>
      <c r="Q70" s="148"/>
      <c r="R70" s="40"/>
      <c r="S70" s="40"/>
      <c r="T70" s="40"/>
      <c r="U70" s="40"/>
    </row>
    <row r="72" spans="2:21" x14ac:dyDescent="0.2">
      <c r="B72" t="s">
        <v>186</v>
      </c>
      <c r="K72" s="115">
        <f>K73/2</f>
        <v>3.7499999999999999E-2</v>
      </c>
      <c r="L72" s="115">
        <f>K73+0.5</f>
        <v>0.57499999999999996</v>
      </c>
      <c r="M72" s="115">
        <f>L72+1</f>
        <v>1.575</v>
      </c>
      <c r="N72" s="115">
        <f>M72+1</f>
        <v>2.5750000000000002</v>
      </c>
      <c r="O72" s="115">
        <f>N72+1</f>
        <v>3.5750000000000002</v>
      </c>
      <c r="P72" s="115">
        <f>O72+1</f>
        <v>4.5750000000000002</v>
      </c>
      <c r="Q72" s="115"/>
      <c r="R72" s="115"/>
      <c r="S72" s="115"/>
      <c r="T72" s="115"/>
      <c r="U72" s="115"/>
    </row>
    <row r="73" spans="2:21" x14ac:dyDescent="0.2">
      <c r="B73" t="s">
        <v>187</v>
      </c>
      <c r="K73" s="115">
        <f>YEARFRAC(C5,C6)</f>
        <v>7.4999999999999997E-2</v>
      </c>
      <c r="O73" s="115"/>
      <c r="P73" s="115"/>
      <c r="Q73" s="109"/>
      <c r="R73" s="109"/>
      <c r="S73" s="109"/>
    </row>
    <row r="74" spans="2:21" x14ac:dyDescent="0.2">
      <c r="O74" s="110"/>
    </row>
    <row r="75" spans="2:21" x14ac:dyDescent="0.2">
      <c r="B75" t="s">
        <v>188</v>
      </c>
      <c r="P75" s="174">
        <f ca="1">P69*(1+0.025)/(0.14-0.0025)</f>
        <v>28319.311750277215</v>
      </c>
      <c r="S75" s="106"/>
      <c r="U75" s="102"/>
    </row>
    <row r="76" spans="2:21" x14ac:dyDescent="0.2">
      <c r="B76" t="s">
        <v>189</v>
      </c>
      <c r="P76" s="196">
        <f ca="1">P75/(1+0.144)^P72</f>
        <v>15303.24856921478</v>
      </c>
      <c r="S76" s="106"/>
      <c r="U76" s="102"/>
    </row>
    <row r="78" spans="2:21" x14ac:dyDescent="0.2">
      <c r="B78" t="s">
        <v>190</v>
      </c>
      <c r="P78" s="175">
        <f ca="1">SUM(K70:P70,P76)</f>
        <v>25807.987875391911</v>
      </c>
      <c r="S78" s="106"/>
      <c r="U78" s="40"/>
    </row>
    <row r="79" spans="2:21" x14ac:dyDescent="0.2">
      <c r="B79" t="s">
        <v>191</v>
      </c>
      <c r="P79" s="176">
        <f>0</f>
        <v>0</v>
      </c>
      <c r="S79" s="111"/>
      <c r="U79" s="116"/>
    </row>
    <row r="80" spans="2:21" x14ac:dyDescent="0.2">
      <c r="B80" t="s">
        <v>192</v>
      </c>
      <c r="P80" s="177">
        <f>768.71+3795.949</f>
        <v>4564.6589999999997</v>
      </c>
      <c r="S80" s="112"/>
      <c r="U80" s="117"/>
    </row>
    <row r="81" spans="2:21" x14ac:dyDescent="0.2">
      <c r="B81" t="s">
        <v>193</v>
      </c>
      <c r="P81" s="173">
        <f ca="1">P78-P79</f>
        <v>25807.987875391911</v>
      </c>
      <c r="S81" s="40"/>
      <c r="U81" s="40"/>
    </row>
    <row r="82" spans="2:21" x14ac:dyDescent="0.2">
      <c r="B82" t="s">
        <v>194</v>
      </c>
      <c r="P82" s="179">
        <f>Shares!E16</f>
        <v>2567.1477282748751</v>
      </c>
      <c r="S82" s="40"/>
      <c r="U82" s="111"/>
    </row>
    <row r="83" spans="2:21" x14ac:dyDescent="0.2">
      <c r="B83" t="s">
        <v>195</v>
      </c>
      <c r="P83" s="172">
        <f ca="1">P81/P82</f>
        <v>10.053175978592746</v>
      </c>
      <c r="S83" s="113"/>
      <c r="U83" s="10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79B0-DC33-4D60-83A5-9BE62676A99B}">
  <dimension ref="B2:N22"/>
  <sheetViews>
    <sheetView showGridLines="0" topLeftCell="D1" zoomScale="158" zoomScaleNormal="175" workbookViewId="0">
      <selection activeCell="K14" sqref="K14:L14"/>
    </sheetView>
  </sheetViews>
  <sheetFormatPr baseColWidth="10" defaultColWidth="8.83203125" defaultRowHeight="15" x14ac:dyDescent="0.2"/>
  <cols>
    <col min="1" max="1" width="3.5" customWidth="1"/>
    <col min="6" max="6" width="12.5" customWidth="1"/>
  </cols>
  <sheetData>
    <row r="2" spans="2:14" s="34" customFormat="1" ht="21" x14ac:dyDescent="0.25">
      <c r="B2" s="33" t="s">
        <v>65</v>
      </c>
    </row>
    <row r="6" spans="2:14" x14ac:dyDescent="0.2">
      <c r="N6" t="s">
        <v>66</v>
      </c>
    </row>
    <row r="7" spans="2:14" x14ac:dyDescent="0.2">
      <c r="B7" s="38" t="s">
        <v>65</v>
      </c>
      <c r="C7" s="39"/>
      <c r="D7" s="39"/>
      <c r="E7" s="39"/>
      <c r="F7" s="39"/>
      <c r="N7" t="s">
        <v>67</v>
      </c>
    </row>
    <row r="8" spans="2:14" x14ac:dyDescent="0.2">
      <c r="B8" t="s">
        <v>68</v>
      </c>
      <c r="F8" s="180">
        <v>181.3</v>
      </c>
    </row>
    <row r="9" spans="2:14" x14ac:dyDescent="0.2">
      <c r="B9" t="s">
        <v>69</v>
      </c>
      <c r="F9" s="41">
        <f>F8/$F$20</f>
        <v>1</v>
      </c>
    </row>
    <row r="10" spans="2:14" x14ac:dyDescent="0.2">
      <c r="B10" t="s">
        <v>70</v>
      </c>
      <c r="F10" s="42">
        <f>F11+F12*F13</f>
        <v>0.14424999999999999</v>
      </c>
    </row>
    <row r="11" spans="2:14" x14ac:dyDescent="0.2">
      <c r="B11" t="s">
        <v>71</v>
      </c>
      <c r="F11" s="163">
        <v>4.1840000000000002E-2</v>
      </c>
    </row>
    <row r="12" spans="2:14" x14ac:dyDescent="0.2">
      <c r="B12" t="s">
        <v>72</v>
      </c>
      <c r="F12" s="44">
        <v>2.66</v>
      </c>
    </row>
    <row r="13" spans="2:14" x14ac:dyDescent="0.2">
      <c r="B13" t="s">
        <v>73</v>
      </c>
      <c r="F13" s="43">
        <v>3.85E-2</v>
      </c>
      <c r="H13" s="45"/>
    </row>
    <row r="15" spans="2:14" x14ac:dyDescent="0.2">
      <c r="B15" t="s">
        <v>74</v>
      </c>
      <c r="F15" s="46">
        <v>0</v>
      </c>
    </row>
    <row r="16" spans="2:14" x14ac:dyDescent="0.2">
      <c r="B16" t="s">
        <v>75</v>
      </c>
      <c r="F16" s="41">
        <f>F15/$F$20</f>
        <v>0</v>
      </c>
    </row>
    <row r="17" spans="2:6" x14ac:dyDescent="0.2">
      <c r="B17" t="s">
        <v>76</v>
      </c>
      <c r="F17" s="43">
        <v>0</v>
      </c>
    </row>
    <row r="18" spans="2:6" x14ac:dyDescent="0.2">
      <c r="B18" t="s">
        <v>77</v>
      </c>
      <c r="F18" s="43">
        <v>0.14000000000000001</v>
      </c>
    </row>
    <row r="20" spans="2:6" x14ac:dyDescent="0.2">
      <c r="B20" t="s">
        <v>78</v>
      </c>
      <c r="F20" s="109">
        <f>F8+F15</f>
        <v>181.3</v>
      </c>
    </row>
    <row r="22" spans="2:6" x14ac:dyDescent="0.2">
      <c r="B22" t="s">
        <v>65</v>
      </c>
      <c r="F22" s="42">
        <f>F9*F10+(F16*F17*(1-F18))</f>
        <v>0.14424999999999999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DB0D-78B7-47D8-8380-EAF6577F68DB}">
  <dimension ref="A2:G32"/>
  <sheetViews>
    <sheetView showGridLines="0" zoomScale="125" zoomScaleNormal="175" workbookViewId="0">
      <selection activeCell="B8" sqref="B8"/>
    </sheetView>
  </sheetViews>
  <sheetFormatPr baseColWidth="10" defaultColWidth="8.83203125" defaultRowHeight="15" x14ac:dyDescent="0.2"/>
  <cols>
    <col min="1" max="1" width="3.5" style="35" customWidth="1"/>
    <col min="2" max="2" width="36.5" bestFit="1" customWidth="1"/>
    <col min="3" max="5" width="15.83203125" customWidth="1"/>
  </cols>
  <sheetData>
    <row r="2" spans="1:7" s="34" customFormat="1" ht="21" x14ac:dyDescent="0.25">
      <c r="A2" s="32"/>
      <c r="B2" s="33" t="s">
        <v>79</v>
      </c>
    </row>
    <row r="3" spans="1:7" x14ac:dyDescent="0.2">
      <c r="B3" s="47"/>
    </row>
    <row r="4" spans="1:7" x14ac:dyDescent="0.2">
      <c r="B4" s="48" t="s">
        <v>80</v>
      </c>
      <c r="C4" s="49"/>
      <c r="D4" s="49"/>
      <c r="E4" s="49"/>
    </row>
    <row r="5" spans="1:7" ht="5" customHeight="1" x14ac:dyDescent="0.2">
      <c r="B5" s="50"/>
      <c r="C5" s="51"/>
      <c r="D5" s="51"/>
      <c r="E5" s="51"/>
    </row>
    <row r="6" spans="1:7" x14ac:dyDescent="0.2">
      <c r="B6" s="52" t="s">
        <v>81</v>
      </c>
      <c r="E6" s="53">
        <v>69.849999999999994</v>
      </c>
      <c r="G6" s="54"/>
    </row>
    <row r="7" spans="1:7" ht="14.5" customHeight="1" x14ac:dyDescent="0.2">
      <c r="B7" s="55" t="s">
        <v>82</v>
      </c>
      <c r="E7" s="178">
        <f>SUM(2180.654456,96.361544,1.005)</f>
        <v>2278.0210000000002</v>
      </c>
    </row>
    <row r="8" spans="1:7" ht="14.5" customHeight="1" x14ac:dyDescent="0.2">
      <c r="B8" s="52" t="s">
        <v>83</v>
      </c>
      <c r="E8" s="57">
        <f>E32</f>
        <v>281.32</v>
      </c>
    </row>
    <row r="9" spans="1:7" ht="14.5" customHeight="1" x14ac:dyDescent="0.2">
      <c r="B9" s="52" t="s">
        <v>84</v>
      </c>
      <c r="E9" s="58">
        <f>SUMPRODUCT(D21:D30,E21:E30)</f>
        <v>4558.1505799999995</v>
      </c>
    </row>
    <row r="10" spans="1:7" ht="14.5" customHeight="1" x14ac:dyDescent="0.2">
      <c r="B10" s="52" t="s">
        <v>85</v>
      </c>
      <c r="E10" s="58">
        <f>E9/E6</f>
        <v>65.256271725125274</v>
      </c>
    </row>
    <row r="11" spans="1:7" ht="14.5" customHeight="1" x14ac:dyDescent="0.2">
      <c r="B11" s="52" t="s">
        <v>86</v>
      </c>
      <c r="E11" s="58">
        <f>E8-E10</f>
        <v>216.06372827487473</v>
      </c>
    </row>
    <row r="12" spans="1:7" ht="14.5" customHeight="1" x14ac:dyDescent="0.2">
      <c r="B12" s="52"/>
      <c r="E12" s="58"/>
    </row>
    <row r="13" spans="1:7" ht="14.5" customHeight="1" x14ac:dyDescent="0.2">
      <c r="B13" s="52" t="s">
        <v>87</v>
      </c>
      <c r="E13" s="178">
        <v>72.200999999999993</v>
      </c>
    </row>
    <row r="14" spans="1:7" ht="14.5" customHeight="1" x14ac:dyDescent="0.2">
      <c r="B14" s="52" t="s">
        <v>88</v>
      </c>
      <c r="E14" s="56">
        <v>0.86199999999999999</v>
      </c>
    </row>
    <row r="15" spans="1:7" ht="14.5" customHeight="1" x14ac:dyDescent="0.2">
      <c r="B15" s="52"/>
      <c r="E15" s="59"/>
    </row>
    <row r="16" spans="1:7" ht="14.5" customHeight="1" x14ac:dyDescent="0.2">
      <c r="B16" s="60" t="s">
        <v>89</v>
      </c>
      <c r="D16" s="61"/>
      <c r="E16" s="62">
        <f>E7+E11+E13+E14</f>
        <v>2567.1477282748751</v>
      </c>
    </row>
    <row r="17" spans="2:7" x14ac:dyDescent="0.2">
      <c r="B17" s="60"/>
      <c r="D17" s="61"/>
      <c r="E17" s="63"/>
    </row>
    <row r="18" spans="2:7" x14ac:dyDescent="0.2">
      <c r="B18" s="48" t="s">
        <v>90</v>
      </c>
      <c r="C18" s="49"/>
      <c r="D18" s="49"/>
      <c r="E18" s="49"/>
    </row>
    <row r="19" spans="2:7" ht="5" customHeight="1" x14ac:dyDescent="0.2">
      <c r="B19" s="50"/>
      <c r="C19" s="51"/>
      <c r="D19" s="51"/>
      <c r="E19" s="51"/>
    </row>
    <row r="20" spans="2:7" x14ac:dyDescent="0.2">
      <c r="C20" s="64" t="s">
        <v>91</v>
      </c>
      <c r="D20" s="64" t="s">
        <v>92</v>
      </c>
      <c r="E20" s="64" t="s">
        <v>93</v>
      </c>
    </row>
    <row r="21" spans="2:7" x14ac:dyDescent="0.2">
      <c r="B21" s="65">
        <v>1</v>
      </c>
      <c r="C21" s="56">
        <v>233.357</v>
      </c>
      <c r="D21" s="164">
        <v>9.1</v>
      </c>
      <c r="E21" s="166">
        <f>IF(D21&lt;$E$6,C21)</f>
        <v>233.357</v>
      </c>
      <c r="G21" s="54"/>
    </row>
    <row r="22" spans="2:7" x14ac:dyDescent="0.2">
      <c r="B22" s="65">
        <f t="shared" ref="B22:B30" si="0">B21+1</f>
        <v>2</v>
      </c>
      <c r="C22" s="56">
        <v>47.963000000000001</v>
      </c>
      <c r="D22" s="66">
        <v>50.76</v>
      </c>
      <c r="E22" s="166">
        <f t="shared" ref="E22:E30" si="1">IF(D22&lt;$E$6,C22)</f>
        <v>47.963000000000001</v>
      </c>
    </row>
    <row r="23" spans="2:7" x14ac:dyDescent="0.2">
      <c r="B23" s="65">
        <f t="shared" si="0"/>
        <v>3</v>
      </c>
      <c r="C23" s="192"/>
      <c r="D23" s="193"/>
      <c r="E23" s="165">
        <f t="shared" si="1"/>
        <v>0</v>
      </c>
    </row>
    <row r="24" spans="2:7" x14ac:dyDescent="0.2">
      <c r="B24" s="65">
        <f t="shared" si="0"/>
        <v>4</v>
      </c>
      <c r="C24" s="194"/>
      <c r="D24" s="193"/>
      <c r="E24" s="165">
        <f t="shared" si="1"/>
        <v>0</v>
      </c>
    </row>
    <row r="25" spans="2:7" x14ac:dyDescent="0.2">
      <c r="B25" s="65">
        <f t="shared" si="0"/>
        <v>5</v>
      </c>
      <c r="C25" s="194"/>
      <c r="D25" s="193"/>
      <c r="E25" s="165">
        <f t="shared" si="1"/>
        <v>0</v>
      </c>
    </row>
    <row r="26" spans="2:7" x14ac:dyDescent="0.2">
      <c r="B26" s="65">
        <f t="shared" si="0"/>
        <v>6</v>
      </c>
      <c r="C26" s="194"/>
      <c r="D26" s="193"/>
      <c r="E26" s="165">
        <f t="shared" si="1"/>
        <v>0</v>
      </c>
    </row>
    <row r="27" spans="2:7" x14ac:dyDescent="0.2">
      <c r="B27" s="65">
        <f t="shared" si="0"/>
        <v>7</v>
      </c>
      <c r="C27" s="194"/>
      <c r="D27" s="193"/>
      <c r="E27" s="165">
        <f t="shared" si="1"/>
        <v>0</v>
      </c>
    </row>
    <row r="28" spans="2:7" x14ac:dyDescent="0.2">
      <c r="B28" s="65">
        <f t="shared" si="0"/>
        <v>8</v>
      </c>
      <c r="C28" s="194"/>
      <c r="D28" s="193"/>
      <c r="E28" s="165">
        <f t="shared" si="1"/>
        <v>0</v>
      </c>
    </row>
    <row r="29" spans="2:7" x14ac:dyDescent="0.2">
      <c r="B29" s="65">
        <f t="shared" si="0"/>
        <v>9</v>
      </c>
      <c r="C29" s="194"/>
      <c r="D29" s="193"/>
      <c r="E29" s="165">
        <f t="shared" si="1"/>
        <v>0</v>
      </c>
    </row>
    <row r="30" spans="2:7" x14ac:dyDescent="0.2">
      <c r="B30" s="65">
        <f t="shared" si="0"/>
        <v>10</v>
      </c>
      <c r="C30" s="194"/>
      <c r="D30" s="193"/>
      <c r="E30" s="165">
        <f t="shared" si="1"/>
        <v>0</v>
      </c>
    </row>
    <row r="31" spans="2:7" ht="5" customHeight="1" x14ac:dyDescent="0.2">
      <c r="B31" s="67"/>
      <c r="C31" s="68"/>
      <c r="D31" s="68"/>
      <c r="E31" s="69"/>
    </row>
    <row r="32" spans="2:7" x14ac:dyDescent="0.2">
      <c r="B32" s="70" t="s">
        <v>78</v>
      </c>
      <c r="C32" s="71"/>
      <c r="D32" s="71"/>
      <c r="E32" s="72">
        <f>SUM(E21:E30)</f>
        <v>281.32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2EED-ACC2-4A7E-8115-CE0ECAEBC3F4}">
  <sheetPr>
    <outlinePr summaryBelow="0" summaryRight="0"/>
  </sheetPr>
  <dimension ref="A1:D12"/>
  <sheetViews>
    <sheetView zoomScale="150" workbookViewId="0">
      <selection activeCell="B9" sqref="B9"/>
    </sheetView>
  </sheetViews>
  <sheetFormatPr baseColWidth="10" defaultColWidth="9.1640625" defaultRowHeight="15" customHeight="1" x14ac:dyDescent="0.15"/>
  <cols>
    <col min="1" max="1" width="19.6640625" style="1" customWidth="1"/>
    <col min="2" max="4" width="8.83203125" style="1" customWidth="1"/>
    <col min="5" max="16384" width="9.1640625" style="1"/>
  </cols>
  <sheetData>
    <row r="1" spans="1:4" ht="15" customHeight="1" x14ac:dyDescent="0.15">
      <c r="A1" s="31" t="s">
        <v>148</v>
      </c>
    </row>
    <row r="2" spans="1:4" ht="15" customHeight="1" x14ac:dyDescent="0.15">
      <c r="A2" s="1" t="s">
        <v>147</v>
      </c>
    </row>
    <row r="3" spans="1:4" ht="15" customHeight="1" x14ac:dyDescent="0.15">
      <c r="A3" s="28"/>
      <c r="B3" s="28" t="s">
        <v>146</v>
      </c>
      <c r="C3" s="28" t="s">
        <v>145</v>
      </c>
      <c r="D3" s="28" t="s">
        <v>144</v>
      </c>
    </row>
    <row r="4" spans="1:4" ht="15" customHeight="1" x14ac:dyDescent="0.15">
      <c r="A4" s="28"/>
      <c r="B4" s="28" t="s">
        <v>143</v>
      </c>
      <c r="C4" s="28" t="s">
        <v>142</v>
      </c>
      <c r="D4" s="28" t="s">
        <v>141</v>
      </c>
    </row>
    <row r="5" spans="1:4" ht="15" customHeight="1" x14ac:dyDescent="0.15">
      <c r="A5" s="11" t="s">
        <v>43</v>
      </c>
      <c r="B5" s="75">
        <v>2809.51</v>
      </c>
      <c r="C5" s="75">
        <v>3512.98</v>
      </c>
      <c r="D5" s="75">
        <v>4216.33</v>
      </c>
    </row>
    <row r="6" spans="1:4" ht="15" customHeight="1" x14ac:dyDescent="0.15">
      <c r="A6" s="23" t="s">
        <v>140</v>
      </c>
      <c r="B6" s="74">
        <v>512.63300000000004</v>
      </c>
      <c r="C6" s="74">
        <v>608.37300000000005</v>
      </c>
      <c r="D6" s="74">
        <v>722.24699999999996</v>
      </c>
    </row>
    <row r="7" spans="1:4" ht="15" customHeight="1" x14ac:dyDescent="0.15">
      <c r="A7" s="11" t="s">
        <v>38</v>
      </c>
      <c r="B7" s="75">
        <v>2119.4899999999998</v>
      </c>
      <c r="C7" s="75">
        <v>2671.27</v>
      </c>
      <c r="D7" s="75">
        <v>3485.86</v>
      </c>
    </row>
    <row r="8" spans="1:4" ht="15" customHeight="1" x14ac:dyDescent="0.15">
      <c r="A8" s="23" t="s">
        <v>3</v>
      </c>
      <c r="B8" s="74">
        <v>1075.1199999999999</v>
      </c>
      <c r="C8" s="74">
        <v>1349.51</v>
      </c>
      <c r="D8" s="74">
        <v>1624.87</v>
      </c>
    </row>
    <row r="9" spans="1:4" ht="15" customHeight="1" x14ac:dyDescent="0.15">
      <c r="A9" s="11" t="s">
        <v>139</v>
      </c>
      <c r="B9" s="75">
        <v>1062.0999999999999</v>
      </c>
      <c r="C9" s="75">
        <v>1354.47</v>
      </c>
      <c r="D9" s="75">
        <v>1653.59</v>
      </c>
    </row>
    <row r="10" spans="1:4" ht="15" customHeight="1" x14ac:dyDescent="0.15">
      <c r="A10" s="23" t="s">
        <v>23</v>
      </c>
      <c r="B10" s="74">
        <v>1161.49</v>
      </c>
      <c r="C10" s="74">
        <v>1418.81</v>
      </c>
      <c r="D10" s="74">
        <v>1780.83</v>
      </c>
    </row>
    <row r="11" spans="1:4" ht="15" customHeight="1" x14ac:dyDescent="0.15">
      <c r="A11" s="11" t="s">
        <v>138</v>
      </c>
      <c r="B11" s="75">
        <v>217.61199999999999</v>
      </c>
      <c r="C11" s="75">
        <v>314.05900000000003</v>
      </c>
      <c r="D11" s="75">
        <v>328.05</v>
      </c>
    </row>
    <row r="12" spans="1:4" ht="15" customHeight="1" x14ac:dyDescent="0.15">
      <c r="A12" s="23" t="s">
        <v>14</v>
      </c>
      <c r="B12" s="74">
        <v>931.72900000000004</v>
      </c>
      <c r="C12" s="74">
        <v>1201.6500000000001</v>
      </c>
      <c r="D12" s="74">
        <v>1477.42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E16F-1B95-43AD-9398-7EF3608768A7}">
  <sheetPr>
    <outlinePr summaryBelow="0" summaryRight="0"/>
  </sheetPr>
  <dimension ref="A1:H58"/>
  <sheetViews>
    <sheetView topLeftCell="A26" zoomScale="112" workbookViewId="0">
      <selection activeCell="B58" sqref="B58"/>
    </sheetView>
  </sheetViews>
  <sheetFormatPr baseColWidth="10" defaultColWidth="9.1640625" defaultRowHeight="15" customHeight="1" outlineLevelRow="3" x14ac:dyDescent="0.15"/>
  <cols>
    <col min="1" max="1" width="54.5" style="1" customWidth="1"/>
    <col min="2" max="8" width="8.5" style="1" customWidth="1"/>
    <col min="9" max="16384" width="9.1640625" style="1"/>
  </cols>
  <sheetData>
    <row r="1" spans="1:8" ht="15" customHeight="1" x14ac:dyDescent="0.15">
      <c r="A1" s="31" t="s">
        <v>56</v>
      </c>
    </row>
    <row r="2" spans="1:8" ht="15" customHeight="1" x14ac:dyDescent="0.15">
      <c r="A2" s="30" t="s">
        <v>55</v>
      </c>
    </row>
    <row r="3" spans="1:8" ht="15" customHeight="1" x14ac:dyDescent="0.15">
      <c r="A3" s="29"/>
      <c r="B3" s="29"/>
      <c r="C3" s="29"/>
      <c r="D3" s="29"/>
      <c r="E3" s="29"/>
      <c r="F3" s="29"/>
      <c r="G3" s="29"/>
      <c r="H3" s="29"/>
    </row>
    <row r="5" spans="1:8" ht="15" customHeight="1" x14ac:dyDescent="0.15">
      <c r="A5" s="28" t="s">
        <v>54</v>
      </c>
      <c r="B5" s="28"/>
      <c r="C5" s="28"/>
      <c r="D5" s="28"/>
      <c r="E5" s="28"/>
      <c r="F5" s="28"/>
      <c r="G5" s="28"/>
      <c r="H5" s="28"/>
    </row>
    <row r="6" spans="1:8" ht="15" customHeight="1" x14ac:dyDescent="0.15">
      <c r="A6" s="28" t="s">
        <v>53</v>
      </c>
      <c r="B6" s="28"/>
      <c r="C6" s="28"/>
      <c r="D6" s="28"/>
      <c r="E6" s="28"/>
      <c r="F6" s="28"/>
      <c r="G6" s="28"/>
      <c r="H6" s="28"/>
    </row>
    <row r="7" spans="1:8" ht="15" customHeight="1" x14ac:dyDescent="0.15">
      <c r="A7" s="28" t="s">
        <v>52</v>
      </c>
      <c r="B7" s="28"/>
      <c r="C7" s="28"/>
      <c r="D7" s="28"/>
      <c r="E7" s="28"/>
      <c r="F7" s="28"/>
      <c r="G7" s="28"/>
      <c r="H7" s="28"/>
    </row>
    <row r="8" spans="1:8" ht="15" customHeight="1" x14ac:dyDescent="0.15">
      <c r="A8" s="28"/>
      <c r="B8" s="28" t="s">
        <v>51</v>
      </c>
      <c r="C8" s="28" t="s">
        <v>50</v>
      </c>
      <c r="D8" s="28" t="s">
        <v>49</v>
      </c>
      <c r="E8" s="28" t="s">
        <v>48</v>
      </c>
      <c r="F8" s="28" t="s">
        <v>47</v>
      </c>
      <c r="G8" s="28" t="s">
        <v>46</v>
      </c>
      <c r="H8" s="28" t="s">
        <v>45</v>
      </c>
    </row>
    <row r="9" spans="1:8" ht="15" customHeight="1" x14ac:dyDescent="0.15">
      <c r="A9" s="28"/>
      <c r="B9" s="28"/>
      <c r="C9" s="28"/>
      <c r="D9" s="28"/>
      <c r="E9" s="28"/>
      <c r="F9" s="28"/>
      <c r="G9" s="28"/>
      <c r="H9" s="28" t="s">
        <v>44</v>
      </c>
    </row>
    <row r="10" spans="1:8" ht="15" customHeight="1" x14ac:dyDescent="0.15">
      <c r="A10" s="10" t="s">
        <v>43</v>
      </c>
      <c r="B10" s="21">
        <v>595.40899999999999</v>
      </c>
      <c r="C10" s="21">
        <v>742.55499999999995</v>
      </c>
      <c r="D10" s="21">
        <v>1092.673</v>
      </c>
      <c r="E10" s="21">
        <v>1541.8889999999999</v>
      </c>
      <c r="F10" s="21">
        <v>1905.8710000000001</v>
      </c>
      <c r="G10" s="21">
        <v>2225.0120000000002</v>
      </c>
      <c r="H10" s="21">
        <v>2646.3380000000002</v>
      </c>
    </row>
    <row r="11" spans="1:8" ht="15" customHeight="1" outlineLevel="1" x14ac:dyDescent="0.15">
      <c r="A11" s="9" t="s">
        <v>42</v>
      </c>
      <c r="B11" s="8">
        <v>165.40100000000001</v>
      </c>
      <c r="C11" s="8">
        <v>242.37299999999999</v>
      </c>
      <c r="D11" s="8">
        <v>352.54700000000003</v>
      </c>
      <c r="E11" s="8">
        <v>339.404</v>
      </c>
      <c r="F11" s="8">
        <v>408.54899999999998</v>
      </c>
      <c r="G11" s="8">
        <v>431.10500000000002</v>
      </c>
      <c r="H11" s="8">
        <v>500.096</v>
      </c>
    </row>
    <row r="12" spans="1:8" ht="15" customHeight="1" outlineLevel="2" x14ac:dyDescent="0.15">
      <c r="A12" s="7" t="s">
        <v>41</v>
      </c>
      <c r="B12" s="5">
        <v>151.601</v>
      </c>
      <c r="C12" s="5">
        <v>230.173</v>
      </c>
      <c r="D12" s="5">
        <v>338.67599999999999</v>
      </c>
      <c r="E12" s="5">
        <v>324.50700000000001</v>
      </c>
      <c r="F12" s="5">
        <v>386.02699999999999</v>
      </c>
      <c r="G12" s="5">
        <v>397.75099999999998</v>
      </c>
      <c r="H12" s="5">
        <v>467.54300000000001</v>
      </c>
    </row>
    <row r="13" spans="1:8" ht="15" customHeight="1" outlineLevel="2" x14ac:dyDescent="0.15">
      <c r="A13" s="27" t="s">
        <v>1</v>
      </c>
      <c r="B13" s="8">
        <v>13.8</v>
      </c>
      <c r="C13" s="8">
        <v>12.2</v>
      </c>
      <c r="D13" s="8">
        <v>13.871</v>
      </c>
      <c r="E13" s="8">
        <v>14.897</v>
      </c>
      <c r="F13" s="8">
        <v>22.521999999999998</v>
      </c>
      <c r="G13" s="8">
        <v>33.353999999999999</v>
      </c>
      <c r="H13" s="8">
        <v>32.552999999999997</v>
      </c>
    </row>
    <row r="14" spans="1:8" ht="15" customHeight="1" outlineLevel="3" x14ac:dyDescent="0.15">
      <c r="A14" s="24" t="s">
        <v>40</v>
      </c>
      <c r="B14" s="5">
        <v>13.8</v>
      </c>
      <c r="C14" s="5">
        <v>12.2</v>
      </c>
      <c r="D14" s="5">
        <v>13.871</v>
      </c>
      <c r="E14" s="5">
        <v>14.897</v>
      </c>
      <c r="F14" s="5">
        <v>22.521999999999998</v>
      </c>
      <c r="G14" s="5">
        <v>33.353999999999999</v>
      </c>
      <c r="H14" s="5">
        <v>30.565999999999999</v>
      </c>
    </row>
    <row r="15" spans="1:8" ht="15" customHeight="1" outlineLevel="3" x14ac:dyDescent="0.15">
      <c r="A15" s="25" t="s">
        <v>39</v>
      </c>
      <c r="B15" s="11"/>
      <c r="C15" s="11"/>
      <c r="D15" s="11"/>
      <c r="E15" s="11"/>
      <c r="F15" s="3">
        <v>0</v>
      </c>
      <c r="G15" s="3">
        <v>0</v>
      </c>
      <c r="H15" s="3">
        <v>1.9870000000000001</v>
      </c>
    </row>
    <row r="16" spans="1:8" ht="15" customHeight="1" x14ac:dyDescent="0.15">
      <c r="A16" s="10" t="s">
        <v>38</v>
      </c>
      <c r="B16" s="21">
        <v>430.00799999999998</v>
      </c>
      <c r="C16" s="21">
        <v>500.18200000000002</v>
      </c>
      <c r="D16" s="21">
        <v>740.12599999999998</v>
      </c>
      <c r="E16" s="21">
        <v>1202.4849999999999</v>
      </c>
      <c r="F16" s="21">
        <v>1497.3219999999999</v>
      </c>
      <c r="G16" s="21">
        <v>1793.9069999999999</v>
      </c>
      <c r="H16" s="21">
        <v>2146.2420000000002</v>
      </c>
    </row>
    <row r="17" spans="1:8" ht="15" customHeight="1" outlineLevel="1" x14ac:dyDescent="0.15">
      <c r="A17" s="9" t="s">
        <v>37</v>
      </c>
      <c r="B17" s="8">
        <v>1053.4480000000001</v>
      </c>
      <c r="C17" s="8">
        <v>1076.626</v>
      </c>
      <c r="D17" s="8">
        <v>1913.8050000000001</v>
      </c>
      <c r="E17" s="8">
        <v>1613.5309999999999</v>
      </c>
      <c r="F17" s="8">
        <v>1658.5229999999999</v>
      </c>
      <c r="G17" s="8">
        <v>1673.941</v>
      </c>
      <c r="H17" s="8">
        <v>1781.088</v>
      </c>
    </row>
    <row r="18" spans="1:8" ht="15" customHeight="1" outlineLevel="2" x14ac:dyDescent="0.15">
      <c r="A18" s="7" t="s">
        <v>36</v>
      </c>
      <c r="B18" s="5">
        <v>285.45100000000002</v>
      </c>
      <c r="C18" s="5">
        <v>305.56299999999999</v>
      </c>
      <c r="D18" s="5">
        <v>560.66</v>
      </c>
      <c r="E18" s="5">
        <v>387.48700000000002</v>
      </c>
      <c r="F18" s="5">
        <v>359.67899999999997</v>
      </c>
      <c r="G18" s="5">
        <v>404.62400000000002</v>
      </c>
      <c r="H18" s="5">
        <v>445.65899999999999</v>
      </c>
    </row>
    <row r="19" spans="1:8" ht="15" customHeight="1" outlineLevel="2" x14ac:dyDescent="0.15">
      <c r="A19" s="4" t="s">
        <v>35</v>
      </c>
      <c r="B19" s="3">
        <v>767.99699999999996</v>
      </c>
      <c r="C19" s="3">
        <v>771.06299999999999</v>
      </c>
      <c r="D19" s="3">
        <v>1353.145</v>
      </c>
      <c r="E19" s="3">
        <v>1226.0440000000001</v>
      </c>
      <c r="F19" s="3">
        <v>1298.8440000000001</v>
      </c>
      <c r="G19" s="3">
        <v>1269.317</v>
      </c>
      <c r="H19" s="3">
        <v>1335.4290000000001</v>
      </c>
    </row>
    <row r="20" spans="1:8" ht="15" customHeight="1" x14ac:dyDescent="0.15">
      <c r="A20" s="10" t="s">
        <v>34</v>
      </c>
      <c r="B20" s="21">
        <v>-623.44000000000005</v>
      </c>
      <c r="C20" s="21">
        <v>-576.44399999999996</v>
      </c>
      <c r="D20" s="21">
        <v>-1173.6790000000001</v>
      </c>
      <c r="E20" s="21">
        <v>-411.04599999999999</v>
      </c>
      <c r="F20" s="21">
        <v>-161.20099999999999</v>
      </c>
      <c r="G20" s="21">
        <v>119.96599999999999</v>
      </c>
      <c r="H20" s="21">
        <v>365.154</v>
      </c>
    </row>
    <row r="21" spans="1:8" ht="15" customHeight="1" outlineLevel="1" x14ac:dyDescent="0.15">
      <c r="A21" s="9" t="s">
        <v>33</v>
      </c>
      <c r="B21" s="8">
        <v>7.8620000000000001</v>
      </c>
      <c r="C21" s="8">
        <v>12.237</v>
      </c>
      <c r="D21" s="8">
        <v>7.98</v>
      </c>
      <c r="E21" s="8">
        <v>-73.808000000000007</v>
      </c>
      <c r="F21" s="8">
        <v>-81.067999999999998</v>
      </c>
      <c r="G21" s="8">
        <v>-159.70500000000001</v>
      </c>
      <c r="H21" s="8">
        <v>459.964</v>
      </c>
    </row>
    <row r="22" spans="1:8" ht="15" customHeight="1" outlineLevel="2" x14ac:dyDescent="0.15">
      <c r="A22" s="7" t="s">
        <v>32</v>
      </c>
      <c r="B22" s="5">
        <v>10.5</v>
      </c>
      <c r="C22" s="5">
        <v>15.09</v>
      </c>
      <c r="D22" s="5">
        <v>4.68</v>
      </c>
      <c r="E22" s="5">
        <v>1.607</v>
      </c>
      <c r="F22" s="5">
        <v>20.309000000000001</v>
      </c>
      <c r="G22" s="5">
        <v>132.572</v>
      </c>
      <c r="H22" s="5">
        <v>186.61</v>
      </c>
    </row>
    <row r="23" spans="1:8" ht="15" customHeight="1" outlineLevel="2" x14ac:dyDescent="0.15">
      <c r="A23" s="4" t="s">
        <v>31</v>
      </c>
      <c r="B23" s="22">
        <v>-2.6379999999999999</v>
      </c>
      <c r="C23" s="22">
        <v>-2.8530000000000002</v>
      </c>
      <c r="D23" s="3">
        <v>3.3</v>
      </c>
      <c r="E23" s="22">
        <v>-75.415000000000006</v>
      </c>
      <c r="F23" s="22">
        <v>-101.377</v>
      </c>
      <c r="G23" s="22">
        <v>-292.27699999999999</v>
      </c>
      <c r="H23" s="3">
        <v>273.35399999999998</v>
      </c>
    </row>
    <row r="24" spans="1:8" ht="15" customHeight="1" outlineLevel="1" x14ac:dyDescent="0.15">
      <c r="A24" s="16" t="s">
        <v>30</v>
      </c>
      <c r="B24" s="21">
        <v>3.44</v>
      </c>
      <c r="C24" s="21">
        <v>3.0609999999999999</v>
      </c>
      <c r="D24" s="21">
        <v>14.138999999999999</v>
      </c>
      <c r="E24" s="21">
        <v>3.64</v>
      </c>
      <c r="F24" s="21">
        <v>4.0579999999999998</v>
      </c>
      <c r="G24" s="21">
        <v>3.47</v>
      </c>
      <c r="H24" s="21">
        <v>0.13600000000000001</v>
      </c>
    </row>
    <row r="25" spans="1:8" ht="15" customHeight="1" outlineLevel="2" x14ac:dyDescent="0.15">
      <c r="A25" s="4" t="s">
        <v>29</v>
      </c>
      <c r="B25" s="3">
        <v>3.44</v>
      </c>
      <c r="C25" s="3">
        <v>3.0609999999999999</v>
      </c>
      <c r="D25" s="3">
        <v>14.138999999999999</v>
      </c>
      <c r="E25" s="3">
        <v>3.64</v>
      </c>
      <c r="F25" s="3">
        <v>4.0579999999999998</v>
      </c>
      <c r="G25" s="3">
        <v>3.47</v>
      </c>
      <c r="H25" s="3">
        <v>0.13600000000000001</v>
      </c>
    </row>
    <row r="26" spans="1:8" ht="15" customHeight="1" outlineLevel="1" x14ac:dyDescent="0.15">
      <c r="A26" s="16" t="s">
        <v>28</v>
      </c>
      <c r="B26" s="21">
        <v>-48.093000000000004</v>
      </c>
      <c r="C26" s="21">
        <v>3.0000000000000001E-3</v>
      </c>
      <c r="D26" s="21">
        <v>-0.81100000000000005</v>
      </c>
      <c r="E26" s="21">
        <v>0</v>
      </c>
      <c r="F26" s="21">
        <v>114.7</v>
      </c>
      <c r="G26" s="21">
        <v>-280.3</v>
      </c>
      <c r="H26" s="21">
        <v>310.10000000000002</v>
      </c>
    </row>
    <row r="27" spans="1:8" ht="15" customHeight="1" outlineLevel="2" x14ac:dyDescent="0.15">
      <c r="A27" s="4" t="s">
        <v>27</v>
      </c>
      <c r="B27" s="3">
        <v>0</v>
      </c>
      <c r="C27" s="3">
        <v>0</v>
      </c>
      <c r="D27" s="3">
        <v>0</v>
      </c>
      <c r="E27" s="3">
        <v>0</v>
      </c>
      <c r="F27" s="22">
        <v>-44.3</v>
      </c>
      <c r="G27" s="22">
        <v>-44.3</v>
      </c>
      <c r="H27" s="22">
        <v>-44.3</v>
      </c>
    </row>
    <row r="28" spans="1:8" ht="15" customHeight="1" outlineLevel="2" x14ac:dyDescent="0.15">
      <c r="A28" s="26" t="s">
        <v>26</v>
      </c>
      <c r="B28" s="21">
        <v>48.093000000000004</v>
      </c>
      <c r="C28" s="21">
        <v>-3.0000000000000001E-3</v>
      </c>
      <c r="D28" s="21">
        <v>0.81100000000000005</v>
      </c>
      <c r="E28" s="10"/>
      <c r="F28" s="21">
        <v>-159</v>
      </c>
      <c r="G28" s="21">
        <v>236</v>
      </c>
      <c r="H28" s="21">
        <v>-354.4</v>
      </c>
    </row>
    <row r="29" spans="1:8" ht="15" customHeight="1" outlineLevel="3" x14ac:dyDescent="0.15">
      <c r="A29" s="25" t="s">
        <v>25</v>
      </c>
      <c r="B29" s="11"/>
      <c r="C29" s="11"/>
      <c r="D29" s="11"/>
      <c r="E29" s="11"/>
      <c r="F29" s="22">
        <v>-159</v>
      </c>
      <c r="G29" s="3">
        <v>236</v>
      </c>
      <c r="H29" s="22">
        <v>-354.4</v>
      </c>
    </row>
    <row r="30" spans="1:8" ht="15" customHeight="1" outlineLevel="3" x14ac:dyDescent="0.15">
      <c r="A30" s="24" t="s">
        <v>24</v>
      </c>
      <c r="B30" s="5">
        <v>48.093000000000004</v>
      </c>
      <c r="C30" s="6">
        <v>-3.0000000000000001E-3</v>
      </c>
      <c r="D30" s="5">
        <v>0.81100000000000005</v>
      </c>
      <c r="E30" s="23"/>
      <c r="F30" s="23"/>
      <c r="G30" s="23"/>
      <c r="H30" s="23"/>
    </row>
    <row r="31" spans="1:8" ht="15" customHeight="1" x14ac:dyDescent="0.15">
      <c r="A31" s="20" t="s">
        <v>23</v>
      </c>
      <c r="B31" s="8">
        <v>-570.92499999999995</v>
      </c>
      <c r="C31" s="8">
        <v>-567.27099999999996</v>
      </c>
      <c r="D31" s="8">
        <v>-1179.027</v>
      </c>
      <c r="E31" s="8">
        <v>-488.49400000000003</v>
      </c>
      <c r="F31" s="8">
        <v>-361.02699999999999</v>
      </c>
      <c r="G31" s="8">
        <v>237.09100000000001</v>
      </c>
      <c r="H31" s="8">
        <v>514.88199999999995</v>
      </c>
    </row>
    <row r="32" spans="1:8" ht="15" customHeight="1" outlineLevel="1" x14ac:dyDescent="0.15">
      <c r="A32" s="16" t="s">
        <v>22</v>
      </c>
      <c r="B32" s="21">
        <v>9.1020000000000003</v>
      </c>
      <c r="C32" s="21">
        <v>12.375</v>
      </c>
      <c r="D32" s="21">
        <v>-12.635999999999999</v>
      </c>
      <c r="E32" s="21">
        <v>31.885000000000002</v>
      </c>
      <c r="F32" s="21">
        <v>10.067</v>
      </c>
      <c r="G32" s="21">
        <v>19.716000000000001</v>
      </c>
      <c r="H32" s="21">
        <v>26.986999999999998</v>
      </c>
    </row>
    <row r="33" spans="1:8" ht="15" customHeight="1" outlineLevel="2" x14ac:dyDescent="0.15">
      <c r="A33" s="4" t="s">
        <v>21</v>
      </c>
      <c r="B33" s="3">
        <v>0.14199999999999999</v>
      </c>
      <c r="C33" s="3">
        <v>0.13900000000000001</v>
      </c>
      <c r="D33" s="3">
        <v>0.5</v>
      </c>
      <c r="E33" s="22">
        <v>-8.7999999999999995E-2</v>
      </c>
      <c r="F33" s="3">
        <v>0.76500000000000001</v>
      </c>
      <c r="G33" s="3">
        <v>2.3330000000000002</v>
      </c>
      <c r="H33" s="11"/>
    </row>
    <row r="34" spans="1:8" ht="15" customHeight="1" outlineLevel="2" x14ac:dyDescent="0.15">
      <c r="A34" s="7" t="s">
        <v>20</v>
      </c>
      <c r="B34" s="5">
        <v>15.945</v>
      </c>
      <c r="C34" s="5">
        <v>19.434999999999999</v>
      </c>
      <c r="D34" s="5">
        <v>7.2489999999999997</v>
      </c>
      <c r="E34" s="6">
        <v>-11.343</v>
      </c>
      <c r="F34" s="5">
        <v>9.4760000000000009</v>
      </c>
      <c r="G34" s="5">
        <v>22.189</v>
      </c>
      <c r="H34" s="23"/>
    </row>
    <row r="35" spans="1:8" ht="15" customHeight="1" outlineLevel="2" x14ac:dyDescent="0.15">
      <c r="A35" s="4" t="s">
        <v>19</v>
      </c>
      <c r="B35" s="3">
        <v>0</v>
      </c>
      <c r="C35" s="3">
        <v>0</v>
      </c>
      <c r="D35" s="3">
        <v>0</v>
      </c>
      <c r="E35" s="22">
        <v>-0.111</v>
      </c>
      <c r="F35" s="3">
        <v>0</v>
      </c>
      <c r="G35" s="3">
        <v>0</v>
      </c>
      <c r="H35" s="11"/>
    </row>
    <row r="36" spans="1:8" ht="15" customHeight="1" outlineLevel="2" x14ac:dyDescent="0.15">
      <c r="A36" s="7" t="s">
        <v>18</v>
      </c>
      <c r="B36" s="6">
        <v>-6.9850000000000003</v>
      </c>
      <c r="C36" s="6">
        <v>-7.1989999999999998</v>
      </c>
      <c r="D36" s="6">
        <v>-20.385000000000002</v>
      </c>
      <c r="E36" s="5">
        <v>43.427</v>
      </c>
      <c r="F36" s="6">
        <v>-0.17399999999999999</v>
      </c>
      <c r="G36" s="6">
        <v>-4.806</v>
      </c>
      <c r="H36" s="23"/>
    </row>
    <row r="37" spans="1:8" ht="15" customHeight="1" outlineLevel="1" x14ac:dyDescent="0.15">
      <c r="A37" s="13" t="s">
        <v>17</v>
      </c>
      <c r="B37" s="3">
        <v>0</v>
      </c>
      <c r="C37" s="22">
        <v>-8.4809999999999999</v>
      </c>
      <c r="D37" s="22">
        <v>-5.4829999999999997</v>
      </c>
      <c r="E37" s="3">
        <v>0</v>
      </c>
      <c r="F37" s="3">
        <v>0</v>
      </c>
      <c r="G37" s="3">
        <v>0</v>
      </c>
      <c r="H37" s="3">
        <v>0</v>
      </c>
    </row>
    <row r="38" spans="1:8" ht="15" customHeight="1" x14ac:dyDescent="0.15">
      <c r="A38" s="10" t="s">
        <v>16</v>
      </c>
      <c r="B38" s="21">
        <v>-580.02700000000004</v>
      </c>
      <c r="C38" s="21">
        <v>-588.12699999999995</v>
      </c>
      <c r="D38" s="21">
        <v>-1171.874</v>
      </c>
      <c r="E38" s="21">
        <v>-520.37900000000002</v>
      </c>
      <c r="F38" s="21">
        <v>-371.09399999999999</v>
      </c>
      <c r="G38" s="21">
        <v>217.375</v>
      </c>
      <c r="H38" s="21">
        <v>487.89499999999998</v>
      </c>
    </row>
    <row r="39" spans="1:8" ht="15" customHeight="1" outlineLevel="1" x14ac:dyDescent="0.15">
      <c r="A39" s="13" t="s">
        <v>15</v>
      </c>
      <c r="B39" s="3">
        <v>0</v>
      </c>
      <c r="C39" s="3">
        <v>0</v>
      </c>
      <c r="D39" s="3">
        <v>0</v>
      </c>
      <c r="E39" s="3">
        <v>0</v>
      </c>
      <c r="F39" s="3">
        <v>2.6110000000000002</v>
      </c>
      <c r="G39" s="3">
        <v>7.55</v>
      </c>
      <c r="H39" s="3">
        <v>11.323</v>
      </c>
    </row>
    <row r="40" spans="1:8" ht="15" customHeight="1" x14ac:dyDescent="0.15">
      <c r="A40" s="10" t="s">
        <v>14</v>
      </c>
      <c r="B40" s="21">
        <v>-580.02700000000004</v>
      </c>
      <c r="C40" s="21">
        <v>-588.12699999999995</v>
      </c>
      <c r="D40" s="21">
        <v>-1171.874</v>
      </c>
      <c r="E40" s="21">
        <v>-520.37900000000002</v>
      </c>
      <c r="F40" s="21">
        <v>-373.70499999999998</v>
      </c>
      <c r="G40" s="21">
        <v>209.82499999999999</v>
      </c>
      <c r="H40" s="21">
        <v>476.572</v>
      </c>
    </row>
    <row r="41" spans="1:8" ht="15" customHeight="1" outlineLevel="1" x14ac:dyDescent="0.15">
      <c r="A41" s="13" t="s">
        <v>13</v>
      </c>
      <c r="B41" s="3">
        <v>18.097999999999999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</row>
    <row r="42" spans="1:8" ht="15" customHeight="1" outlineLevel="1" x14ac:dyDescent="0.15">
      <c r="A42" s="19" t="s">
        <v>12</v>
      </c>
      <c r="B42" s="6">
        <v>-598.125</v>
      </c>
      <c r="C42" s="6">
        <v>-588.12699999999995</v>
      </c>
      <c r="D42" s="6">
        <v>-1171.874</v>
      </c>
      <c r="E42" s="6">
        <v>-520.37900000000002</v>
      </c>
      <c r="F42" s="6">
        <v>-373.70499999999998</v>
      </c>
      <c r="G42" s="5">
        <v>209.82499999999999</v>
      </c>
      <c r="H42" s="5">
        <v>476.572</v>
      </c>
    </row>
    <row r="43" spans="1:8" ht="15" customHeight="1" x14ac:dyDescent="0.15">
      <c r="A43" s="20" t="s">
        <v>11</v>
      </c>
      <c r="B43" s="20"/>
      <c r="C43" s="20"/>
      <c r="D43" s="20"/>
      <c r="E43" s="20"/>
      <c r="F43" s="20"/>
      <c r="G43" s="20"/>
      <c r="H43" s="20"/>
    </row>
    <row r="44" spans="1:8" ht="15" customHeight="1" outlineLevel="1" x14ac:dyDescent="0.15">
      <c r="A44" s="19" t="s">
        <v>10</v>
      </c>
      <c r="B44" s="18">
        <v>-0.365898</v>
      </c>
      <c r="C44" s="18">
        <v>-0.340609</v>
      </c>
      <c r="D44" s="18">
        <v>-0.65421300000000004</v>
      </c>
      <c r="E44" s="18">
        <v>-0.27052100000000001</v>
      </c>
      <c r="F44" s="18">
        <v>-0.14217299999999999</v>
      </c>
      <c r="G44" s="14">
        <v>5.9249999999999997E-3</v>
      </c>
      <c r="H44" s="14">
        <v>0.28201500000000002</v>
      </c>
    </row>
    <row r="45" spans="1:8" ht="15" customHeight="1" outlineLevel="1" x14ac:dyDescent="0.15">
      <c r="A45" s="9" t="s">
        <v>9</v>
      </c>
      <c r="B45" s="17">
        <v>-0.34639999999999999</v>
      </c>
      <c r="C45" s="17">
        <v>-0.34060000000000001</v>
      </c>
      <c r="D45" s="17">
        <v>-0.65390000000000004</v>
      </c>
      <c r="E45" s="17">
        <v>-0.27050000000000002</v>
      </c>
      <c r="F45" s="17">
        <v>-0.18110000000000001</v>
      </c>
      <c r="G45" s="17">
        <v>9.7699999999999995E-2</v>
      </c>
      <c r="H45" s="17">
        <v>0.21429999999999999</v>
      </c>
    </row>
    <row r="46" spans="1:8" ht="15" customHeight="1" outlineLevel="2" x14ac:dyDescent="0.15">
      <c r="A46" s="7" t="s">
        <v>8</v>
      </c>
      <c r="B46" s="14">
        <v>1726.685755</v>
      </c>
      <c r="C46" s="14">
        <v>1726.685755</v>
      </c>
      <c r="D46" s="14">
        <v>1792.1395439999999</v>
      </c>
      <c r="E46" s="14">
        <v>1923.617</v>
      </c>
      <c r="F46" s="14">
        <v>2063.7930000000001</v>
      </c>
      <c r="G46" s="14">
        <v>2147.4459999999999</v>
      </c>
      <c r="H46" s="14">
        <v>2250.0320000000002</v>
      </c>
    </row>
    <row r="47" spans="1:8" ht="15" customHeight="1" outlineLevel="2" x14ac:dyDescent="0.15">
      <c r="A47" s="4" t="s">
        <v>5</v>
      </c>
      <c r="B47" s="12">
        <v>1726.685755</v>
      </c>
      <c r="C47" s="12">
        <v>1726.685755</v>
      </c>
      <c r="D47" s="12">
        <v>1792.1395439999999</v>
      </c>
      <c r="E47" s="12">
        <v>2128.3589999999999</v>
      </c>
      <c r="F47" s="12">
        <v>2099.0749999999998</v>
      </c>
      <c r="G47" s="12">
        <v>2200.1280000000002</v>
      </c>
      <c r="H47" s="12">
        <v>2269.8090000000002</v>
      </c>
    </row>
    <row r="48" spans="1:8" ht="15" customHeight="1" outlineLevel="1" x14ac:dyDescent="0.15">
      <c r="A48" s="16" t="s">
        <v>7</v>
      </c>
      <c r="B48" s="15">
        <v>-0.34639999999999999</v>
      </c>
      <c r="C48" s="15">
        <v>-0.34060000000000001</v>
      </c>
      <c r="D48" s="15">
        <v>-0.65390000000000004</v>
      </c>
      <c r="E48" s="15">
        <v>-0.27050000000000002</v>
      </c>
      <c r="F48" s="15">
        <v>-0.18110000000000001</v>
      </c>
      <c r="G48" s="15">
        <v>9.1300000000000006E-2</v>
      </c>
      <c r="H48" s="15">
        <v>0.19750000000000001</v>
      </c>
    </row>
    <row r="49" spans="1:8" ht="15" customHeight="1" outlineLevel="2" x14ac:dyDescent="0.15">
      <c r="A49" s="4" t="s">
        <v>6</v>
      </c>
      <c r="B49" s="12">
        <v>1726.685755</v>
      </c>
      <c r="C49" s="12">
        <v>1726.685755</v>
      </c>
      <c r="D49" s="12">
        <v>1792.1395439999999</v>
      </c>
      <c r="E49" s="12">
        <v>1923.617</v>
      </c>
      <c r="F49" s="12">
        <v>2063.7930000000001</v>
      </c>
      <c r="G49" s="12">
        <v>2297.9270000000001</v>
      </c>
      <c r="H49" s="12">
        <v>2459.5889999999999</v>
      </c>
    </row>
    <row r="50" spans="1:8" ht="15" customHeight="1" outlineLevel="2" x14ac:dyDescent="0.15">
      <c r="A50" s="7" t="s">
        <v>5</v>
      </c>
      <c r="B50" s="14">
        <v>1726.685755</v>
      </c>
      <c r="C50" s="14">
        <v>1726.685755</v>
      </c>
      <c r="D50" s="14">
        <v>1792.1395439999999</v>
      </c>
      <c r="E50" s="14">
        <v>2128.3589999999999</v>
      </c>
      <c r="F50" s="14">
        <v>2099.0749999999998</v>
      </c>
      <c r="G50" s="14">
        <v>2200.1280000000002</v>
      </c>
      <c r="H50" s="14">
        <v>2269.8090000000002</v>
      </c>
    </row>
    <row r="51" spans="1:8" ht="15" customHeight="1" outlineLevel="1" x14ac:dyDescent="0.15">
      <c r="A51" s="13" t="s">
        <v>4</v>
      </c>
      <c r="B51" s="11"/>
      <c r="C51" s="12">
        <v>70.185000000000002</v>
      </c>
      <c r="D51" s="12">
        <v>27.795000000000002</v>
      </c>
      <c r="E51" s="12">
        <v>0</v>
      </c>
      <c r="F51" s="12">
        <v>7.1109999999999998</v>
      </c>
      <c r="G51" s="12">
        <v>0</v>
      </c>
      <c r="H51" s="11"/>
    </row>
    <row r="52" spans="1:8" ht="15" customHeight="1" x14ac:dyDescent="0.15">
      <c r="A52" s="10" t="s">
        <v>3</v>
      </c>
      <c r="B52" s="10"/>
      <c r="C52" s="10"/>
      <c r="D52" s="10"/>
      <c r="E52" s="10"/>
      <c r="F52" s="10"/>
      <c r="G52" s="10"/>
      <c r="H52" s="10"/>
    </row>
    <row r="53" spans="1:8" ht="15" customHeight="1" outlineLevel="1" x14ac:dyDescent="0.15">
      <c r="A53" s="9" t="s">
        <v>3</v>
      </c>
      <c r="B53" s="8">
        <v>-609.64</v>
      </c>
      <c r="C53" s="8">
        <v>-564.24400000000003</v>
      </c>
      <c r="D53" s="8">
        <v>-1159.808</v>
      </c>
      <c r="E53" s="8">
        <v>-396.149</v>
      </c>
      <c r="F53" s="8">
        <v>-138.679</v>
      </c>
      <c r="G53" s="8">
        <v>153.32</v>
      </c>
      <c r="H53" s="8">
        <v>397.70699999999999</v>
      </c>
    </row>
    <row r="54" spans="1:8" ht="15" customHeight="1" outlineLevel="2" x14ac:dyDescent="0.15">
      <c r="A54" s="7" t="s">
        <v>2</v>
      </c>
      <c r="B54" s="6">
        <v>-623.44000000000005</v>
      </c>
      <c r="C54" s="6">
        <v>-576.44399999999996</v>
      </c>
      <c r="D54" s="6">
        <v>-1173.6790000000001</v>
      </c>
      <c r="E54" s="6">
        <v>-411.04599999999999</v>
      </c>
      <c r="F54" s="6">
        <v>-161.20099999999999</v>
      </c>
      <c r="G54" s="5">
        <v>119.96599999999999</v>
      </c>
      <c r="H54" s="5">
        <v>365.154</v>
      </c>
    </row>
    <row r="55" spans="1:8" ht="15" customHeight="1" outlineLevel="2" x14ac:dyDescent="0.15">
      <c r="A55" s="4" t="s">
        <v>1</v>
      </c>
      <c r="B55" s="3">
        <v>13.8</v>
      </c>
      <c r="C55" s="3">
        <v>12.2</v>
      </c>
      <c r="D55" s="3">
        <v>13.871</v>
      </c>
      <c r="E55" s="3">
        <v>14.897</v>
      </c>
      <c r="F55" s="3">
        <v>22.521999999999998</v>
      </c>
      <c r="G55" s="3">
        <v>33.353999999999999</v>
      </c>
      <c r="H55" s="3">
        <v>32.552999999999997</v>
      </c>
    </row>
    <row r="56" spans="1:8" ht="15" customHeight="1" x14ac:dyDescent="0.15">
      <c r="A56" s="2" t="s">
        <v>0</v>
      </c>
    </row>
    <row r="58" spans="1:8" ht="15" customHeight="1" x14ac:dyDescent="0.15">
      <c r="B58" s="1">
        <f>'IS - Annual'!E28/'IS - Annual'!B31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F9862-F462-45D6-8D63-F39D15454412}">
  <sheetPr>
    <outlinePr summaryBelow="0" summaryRight="0"/>
  </sheetPr>
  <dimension ref="A1:U48"/>
  <sheetViews>
    <sheetView topLeftCell="A4" zoomScale="116" workbookViewId="0">
      <selection activeCell="O9" sqref="O9:U13"/>
    </sheetView>
  </sheetViews>
  <sheetFormatPr baseColWidth="10" defaultColWidth="9.1640625" defaultRowHeight="15" customHeight="1" outlineLevelRow="3" x14ac:dyDescent="0.15"/>
  <cols>
    <col min="1" max="1" width="54.5" style="1" customWidth="1"/>
    <col min="2" max="11" width="8.5" style="1" customWidth="1"/>
    <col min="12" max="16384" width="9.1640625" style="1"/>
  </cols>
  <sheetData>
    <row r="1" spans="1:21" ht="15" customHeight="1" x14ac:dyDescent="0.15">
      <c r="A1" s="31" t="s">
        <v>56</v>
      </c>
    </row>
    <row r="2" spans="1:21" ht="15" customHeight="1" x14ac:dyDescent="0.15">
      <c r="A2" s="30" t="s">
        <v>64</v>
      </c>
    </row>
    <row r="3" spans="1:21" ht="15" customHeight="1" x14ac:dyDescent="0.1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5" spans="1:21" ht="15" customHeight="1" x14ac:dyDescent="0.15">
      <c r="A5" s="28" t="s">
        <v>54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21" ht="15" customHeight="1" x14ac:dyDescent="0.15">
      <c r="A6" s="28" t="s">
        <v>53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21" ht="15" customHeight="1" x14ac:dyDescent="0.15">
      <c r="A7" s="28" t="s">
        <v>52</v>
      </c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21" ht="15" customHeight="1" x14ac:dyDescent="0.15">
      <c r="A8" s="28"/>
      <c r="B8" s="28" t="s">
        <v>63</v>
      </c>
      <c r="C8" s="28" t="s">
        <v>62</v>
      </c>
      <c r="D8" s="28" t="s">
        <v>47</v>
      </c>
      <c r="E8" s="28" t="s">
        <v>61</v>
      </c>
      <c r="F8" s="28" t="s">
        <v>60</v>
      </c>
      <c r="G8" s="28" t="s">
        <v>59</v>
      </c>
      <c r="H8" s="28" t="s">
        <v>46</v>
      </c>
      <c r="I8" s="28" t="s">
        <v>58</v>
      </c>
      <c r="J8" s="28" t="s">
        <v>57</v>
      </c>
      <c r="K8" s="28" t="s">
        <v>45</v>
      </c>
    </row>
    <row r="9" spans="1:21" ht="15" customHeight="1" x14ac:dyDescent="0.15">
      <c r="A9" s="20" t="s">
        <v>43</v>
      </c>
      <c r="B9" s="8">
        <v>473.01</v>
      </c>
      <c r="C9" s="8">
        <v>477.88</v>
      </c>
      <c r="D9" s="8">
        <v>508.62400000000002</v>
      </c>
      <c r="E9" s="8">
        <v>525.18600000000004</v>
      </c>
      <c r="F9" s="8">
        <v>533.31700000000001</v>
      </c>
      <c r="G9" s="8">
        <v>558.15899999999999</v>
      </c>
      <c r="H9" s="8">
        <v>608.35</v>
      </c>
      <c r="I9" s="8">
        <v>634.33799999999997</v>
      </c>
      <c r="J9" s="8">
        <v>678.13400000000001</v>
      </c>
      <c r="K9" s="8">
        <v>725.51599999999996</v>
      </c>
      <c r="O9" s="197"/>
      <c r="P9" s="197"/>
      <c r="Q9" s="197"/>
      <c r="R9" s="197"/>
      <c r="S9" s="197"/>
      <c r="T9" s="197"/>
      <c r="U9" s="197"/>
    </row>
    <row r="10" spans="1:21" ht="15" customHeight="1" outlineLevel="1" x14ac:dyDescent="0.15">
      <c r="A10" s="16" t="s">
        <v>42</v>
      </c>
      <c r="B10" s="21">
        <v>102.224</v>
      </c>
      <c r="C10" s="21">
        <v>107.611</v>
      </c>
      <c r="D10" s="21">
        <v>104.31100000000001</v>
      </c>
      <c r="E10" s="21">
        <v>107.645</v>
      </c>
      <c r="F10" s="21">
        <v>106.899</v>
      </c>
      <c r="G10" s="21">
        <v>107.922</v>
      </c>
      <c r="H10" s="21">
        <v>108.639</v>
      </c>
      <c r="I10" s="21">
        <v>116.256</v>
      </c>
      <c r="J10" s="21">
        <v>128.56200000000001</v>
      </c>
      <c r="K10" s="21">
        <v>146.63900000000001</v>
      </c>
      <c r="O10" s="197"/>
      <c r="P10" s="197"/>
      <c r="Q10" s="197"/>
      <c r="R10" s="197"/>
      <c r="S10" s="197"/>
      <c r="T10" s="197"/>
      <c r="U10" s="197"/>
    </row>
    <row r="11" spans="1:21" ht="15" customHeight="1" outlineLevel="2" x14ac:dyDescent="0.15">
      <c r="A11" s="4" t="s">
        <v>41</v>
      </c>
      <c r="B11" s="3">
        <v>97.328999999999994</v>
      </c>
      <c r="C11" s="3">
        <v>102.91800000000001</v>
      </c>
      <c r="D11" s="3">
        <v>95.688999999999993</v>
      </c>
      <c r="E11" s="3">
        <v>99.325000000000003</v>
      </c>
      <c r="F11" s="3">
        <v>98.5</v>
      </c>
      <c r="G11" s="3">
        <v>99.259</v>
      </c>
      <c r="H11" s="3">
        <v>100.667</v>
      </c>
      <c r="I11" s="3">
        <v>107.818</v>
      </c>
      <c r="J11" s="3">
        <v>120.506</v>
      </c>
      <c r="K11" s="3">
        <v>138.55199999999999</v>
      </c>
      <c r="O11" s="197"/>
      <c r="P11" s="197"/>
      <c r="Q11" s="197"/>
      <c r="R11" s="197"/>
      <c r="S11" s="197"/>
      <c r="T11" s="197"/>
      <c r="U11" s="197"/>
    </row>
    <row r="12" spans="1:21" ht="15" customHeight="1" outlineLevel="2" x14ac:dyDescent="0.15">
      <c r="A12" s="26" t="s">
        <v>1</v>
      </c>
      <c r="B12" s="21">
        <v>4.8949999999999996</v>
      </c>
      <c r="C12" s="21">
        <v>4.6929999999999996</v>
      </c>
      <c r="D12" s="21">
        <v>8.6219999999999999</v>
      </c>
      <c r="E12" s="21">
        <v>8.32</v>
      </c>
      <c r="F12" s="21">
        <v>8.3989999999999991</v>
      </c>
      <c r="G12" s="21">
        <v>8.6630000000000003</v>
      </c>
      <c r="H12" s="21">
        <v>7.9720000000000004</v>
      </c>
      <c r="I12" s="21">
        <v>8.4380000000000006</v>
      </c>
      <c r="J12" s="21">
        <v>8.0559999999999992</v>
      </c>
      <c r="K12" s="21">
        <v>8.0869999999999997</v>
      </c>
      <c r="O12" s="197"/>
      <c r="P12" s="197"/>
      <c r="Q12" s="197"/>
      <c r="R12" s="197"/>
      <c r="S12" s="197"/>
      <c r="T12" s="197"/>
      <c r="U12" s="197"/>
    </row>
    <row r="13" spans="1:21" ht="15" customHeight="1" outlineLevel="3" x14ac:dyDescent="0.15">
      <c r="A13" s="25" t="s">
        <v>40</v>
      </c>
      <c r="B13" s="3">
        <v>4.8949999999999996</v>
      </c>
      <c r="C13" s="3">
        <v>4.6929999999999996</v>
      </c>
      <c r="D13" s="3">
        <v>8.6219999999999999</v>
      </c>
      <c r="E13" s="3">
        <v>8.32</v>
      </c>
      <c r="F13" s="3">
        <v>8.3989999999999991</v>
      </c>
      <c r="G13" s="3">
        <v>8.6630000000000003</v>
      </c>
      <c r="H13" s="3">
        <v>7.9720000000000004</v>
      </c>
      <c r="I13" s="3">
        <v>8.4380000000000006</v>
      </c>
      <c r="J13" s="3">
        <v>8.0559999999999992</v>
      </c>
      <c r="K13" s="3">
        <v>6.1</v>
      </c>
      <c r="O13" s="197"/>
      <c r="P13" s="197"/>
      <c r="Q13" s="197"/>
      <c r="R13" s="197"/>
      <c r="S13" s="197"/>
      <c r="T13" s="197"/>
      <c r="U13" s="197"/>
    </row>
    <row r="14" spans="1:21" ht="15" customHeight="1" outlineLevel="3" x14ac:dyDescent="0.15">
      <c r="A14" s="24" t="s">
        <v>39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1.9870000000000001</v>
      </c>
    </row>
    <row r="15" spans="1:21" ht="15" customHeight="1" x14ac:dyDescent="0.15">
      <c r="A15" s="20" t="s">
        <v>38</v>
      </c>
      <c r="B15" s="8">
        <v>370.786</v>
      </c>
      <c r="C15" s="8">
        <v>370.26900000000001</v>
      </c>
      <c r="D15" s="8">
        <v>404.31299999999999</v>
      </c>
      <c r="E15" s="8">
        <v>417.541</v>
      </c>
      <c r="F15" s="8">
        <v>426.41800000000001</v>
      </c>
      <c r="G15" s="8">
        <v>450.23700000000002</v>
      </c>
      <c r="H15" s="8">
        <v>499.71100000000001</v>
      </c>
      <c r="I15" s="8">
        <v>518.08199999999999</v>
      </c>
      <c r="J15" s="8">
        <v>549.572</v>
      </c>
      <c r="K15" s="8">
        <v>578.87699999999995</v>
      </c>
    </row>
    <row r="16" spans="1:21" ht="15" customHeight="1" outlineLevel="1" x14ac:dyDescent="0.15">
      <c r="A16" s="16" t="s">
        <v>37</v>
      </c>
      <c r="B16" s="21">
        <v>412.53100000000001</v>
      </c>
      <c r="C16" s="21">
        <v>432.46</v>
      </c>
      <c r="D16" s="21">
        <v>422.13900000000001</v>
      </c>
      <c r="E16" s="21">
        <v>413.42599999999999</v>
      </c>
      <c r="F16" s="21">
        <v>416.34399999999999</v>
      </c>
      <c r="G16" s="21">
        <v>410.25400000000002</v>
      </c>
      <c r="H16" s="21">
        <v>433.91699999999997</v>
      </c>
      <c r="I16" s="21">
        <v>437.20100000000002</v>
      </c>
      <c r="J16" s="21">
        <v>444.233</v>
      </c>
      <c r="K16" s="21">
        <v>465.73700000000002</v>
      </c>
    </row>
    <row r="17" spans="1:11" ht="15" customHeight="1" outlineLevel="2" x14ac:dyDescent="0.15">
      <c r="A17" s="4" t="s">
        <v>36</v>
      </c>
      <c r="B17" s="3">
        <v>88.171000000000006</v>
      </c>
      <c r="C17" s="3">
        <v>100.863</v>
      </c>
      <c r="D17" s="3">
        <v>82.043999999999997</v>
      </c>
      <c r="E17" s="3">
        <v>90.1</v>
      </c>
      <c r="F17" s="3">
        <v>99.533000000000001</v>
      </c>
      <c r="G17" s="3">
        <v>105.708</v>
      </c>
      <c r="H17" s="3">
        <v>109.283</v>
      </c>
      <c r="I17" s="3">
        <v>110.04</v>
      </c>
      <c r="J17" s="3">
        <v>108.78100000000001</v>
      </c>
      <c r="K17" s="3">
        <v>117.55500000000001</v>
      </c>
    </row>
    <row r="18" spans="1:11" ht="15" customHeight="1" outlineLevel="2" x14ac:dyDescent="0.15">
      <c r="A18" s="7" t="s">
        <v>35</v>
      </c>
      <c r="B18" s="5">
        <v>324.36</v>
      </c>
      <c r="C18" s="5">
        <v>331.59699999999998</v>
      </c>
      <c r="D18" s="5">
        <v>340.09500000000003</v>
      </c>
      <c r="E18" s="5">
        <v>323.32600000000002</v>
      </c>
      <c r="F18" s="5">
        <v>316.81099999999998</v>
      </c>
      <c r="G18" s="5">
        <v>304.54599999999999</v>
      </c>
      <c r="H18" s="5">
        <v>324.63400000000001</v>
      </c>
      <c r="I18" s="5">
        <v>327.161</v>
      </c>
      <c r="J18" s="5">
        <v>335.452</v>
      </c>
      <c r="K18" s="5">
        <v>348.18200000000002</v>
      </c>
    </row>
    <row r="19" spans="1:11" ht="15" customHeight="1" x14ac:dyDescent="0.15">
      <c r="A19" s="20" t="s">
        <v>34</v>
      </c>
      <c r="B19" s="8">
        <v>-41.744999999999997</v>
      </c>
      <c r="C19" s="8">
        <v>-62.191000000000003</v>
      </c>
      <c r="D19" s="8">
        <v>-17.826000000000001</v>
      </c>
      <c r="E19" s="8">
        <v>4.1150000000000002</v>
      </c>
      <c r="F19" s="8">
        <v>10.074</v>
      </c>
      <c r="G19" s="8">
        <v>39.982999999999997</v>
      </c>
      <c r="H19" s="8">
        <v>65.793999999999997</v>
      </c>
      <c r="I19" s="8">
        <v>80.881</v>
      </c>
      <c r="J19" s="8">
        <v>105.339</v>
      </c>
      <c r="K19" s="8">
        <v>113.14</v>
      </c>
    </row>
    <row r="20" spans="1:11" ht="15" customHeight="1" outlineLevel="1" x14ac:dyDescent="0.15">
      <c r="A20" s="16" t="s">
        <v>33</v>
      </c>
      <c r="B20" s="21">
        <v>-11.526</v>
      </c>
      <c r="C20" s="21">
        <v>-41.506</v>
      </c>
      <c r="D20" s="21">
        <v>-20.713000000000001</v>
      </c>
      <c r="E20" s="21">
        <v>-351.80799999999999</v>
      </c>
      <c r="F20" s="21">
        <v>-1078.7139999999999</v>
      </c>
      <c r="G20" s="21">
        <v>-1359.2719999999999</v>
      </c>
      <c r="H20" s="21">
        <v>1160.289</v>
      </c>
      <c r="I20" s="21">
        <v>2329.8449999999998</v>
      </c>
      <c r="J20" s="21">
        <v>-3064.58</v>
      </c>
      <c r="K20" s="21">
        <v>34.409999999999997</v>
      </c>
    </row>
    <row r="21" spans="1:11" ht="15" customHeight="1" outlineLevel="2" x14ac:dyDescent="0.15">
      <c r="A21" s="4" t="s">
        <v>32</v>
      </c>
      <c r="B21" s="3">
        <v>1.472</v>
      </c>
      <c r="C21" s="3">
        <v>5.54</v>
      </c>
      <c r="D21" s="3">
        <v>12.75</v>
      </c>
      <c r="E21" s="3">
        <v>20.853000000000002</v>
      </c>
      <c r="F21" s="3">
        <v>30.31</v>
      </c>
      <c r="G21" s="3">
        <v>36.863999999999997</v>
      </c>
      <c r="H21" s="3">
        <v>44.545000000000002</v>
      </c>
      <c r="I21" s="3">
        <v>43.351999999999997</v>
      </c>
      <c r="J21" s="3">
        <v>46.593000000000004</v>
      </c>
      <c r="K21" s="3">
        <v>52.12</v>
      </c>
    </row>
    <row r="22" spans="1:11" ht="15" customHeight="1" outlineLevel="2" x14ac:dyDescent="0.15">
      <c r="A22" s="7" t="s">
        <v>31</v>
      </c>
      <c r="B22" s="6">
        <v>-12.997999999999999</v>
      </c>
      <c r="C22" s="6">
        <v>-47.045999999999999</v>
      </c>
      <c r="D22" s="6">
        <v>-33.463000000000001</v>
      </c>
      <c r="E22" s="6">
        <v>-372.661</v>
      </c>
      <c r="F22" s="6">
        <v>-1109.0239999999999</v>
      </c>
      <c r="G22" s="6">
        <v>-1396.136</v>
      </c>
      <c r="H22" s="5">
        <v>1115.7439999999999</v>
      </c>
      <c r="I22" s="5">
        <v>2286.4929999999999</v>
      </c>
      <c r="J22" s="6">
        <v>-3111.1729999999998</v>
      </c>
      <c r="K22" s="6">
        <v>-17.71</v>
      </c>
    </row>
    <row r="23" spans="1:11" ht="15" customHeight="1" outlineLevel="1" x14ac:dyDescent="0.15">
      <c r="A23" s="9" t="s">
        <v>30</v>
      </c>
      <c r="B23" s="8">
        <v>0.67</v>
      </c>
      <c r="C23" s="8">
        <v>1.0820000000000001</v>
      </c>
      <c r="D23" s="8">
        <v>1.712</v>
      </c>
      <c r="E23" s="8">
        <v>1.2749999999999999</v>
      </c>
      <c r="F23" s="8">
        <v>1.3169999999999999</v>
      </c>
      <c r="G23" s="8">
        <v>0.74199999999999999</v>
      </c>
      <c r="H23" s="8">
        <v>0.13600000000000001</v>
      </c>
      <c r="I23" s="8">
        <v>0</v>
      </c>
      <c r="J23" s="8">
        <v>0</v>
      </c>
      <c r="K23" s="8">
        <v>0</v>
      </c>
    </row>
    <row r="24" spans="1:11" ht="15" customHeight="1" outlineLevel="2" x14ac:dyDescent="0.15">
      <c r="A24" s="7" t="s">
        <v>29</v>
      </c>
      <c r="B24" s="5">
        <v>0.67</v>
      </c>
      <c r="C24" s="5">
        <v>1.0820000000000001</v>
      </c>
      <c r="D24" s="5">
        <v>1.712</v>
      </c>
      <c r="E24" s="5">
        <v>1.2749999999999999</v>
      </c>
      <c r="F24" s="5">
        <v>1.3169999999999999</v>
      </c>
      <c r="G24" s="5">
        <v>0.74199999999999999</v>
      </c>
      <c r="H24" s="5">
        <v>0.13600000000000001</v>
      </c>
      <c r="I24" s="5">
        <v>0</v>
      </c>
      <c r="J24" s="5">
        <v>0</v>
      </c>
      <c r="K24" s="5">
        <v>0</v>
      </c>
    </row>
    <row r="25" spans="1:11" ht="15" customHeight="1" outlineLevel="1" x14ac:dyDescent="0.15">
      <c r="A25" s="9" t="s">
        <v>28</v>
      </c>
      <c r="B25" s="8">
        <v>122.8</v>
      </c>
      <c r="C25" s="8">
        <v>18</v>
      </c>
      <c r="D25" s="8">
        <v>-78.099999999999994</v>
      </c>
      <c r="E25" s="8">
        <v>-369.8</v>
      </c>
      <c r="F25" s="8">
        <v>-1100</v>
      </c>
      <c r="G25" s="8">
        <v>-1400</v>
      </c>
      <c r="H25" s="8">
        <v>1119.7</v>
      </c>
      <c r="I25" s="8">
        <v>2300</v>
      </c>
      <c r="J25" s="8">
        <v>-3100</v>
      </c>
      <c r="K25" s="8">
        <v>-9.6</v>
      </c>
    </row>
    <row r="26" spans="1:11" ht="15" customHeight="1" outlineLevel="2" x14ac:dyDescent="0.15">
      <c r="A26" s="7" t="s">
        <v>27</v>
      </c>
      <c r="B26" s="5">
        <v>0</v>
      </c>
      <c r="C26" s="5">
        <v>0</v>
      </c>
      <c r="D26" s="6">
        <v>-44.3</v>
      </c>
      <c r="E26" s="5">
        <v>0</v>
      </c>
      <c r="F26" s="5">
        <v>0</v>
      </c>
      <c r="G26" s="5">
        <v>0</v>
      </c>
      <c r="H26" s="6">
        <v>-44.3</v>
      </c>
      <c r="I26" s="5">
        <v>0</v>
      </c>
      <c r="J26" s="5">
        <v>0</v>
      </c>
      <c r="K26" s="5">
        <v>0</v>
      </c>
    </row>
    <row r="27" spans="1:11" ht="15" customHeight="1" outlineLevel="2" x14ac:dyDescent="0.15">
      <c r="A27" s="27" t="s">
        <v>26</v>
      </c>
      <c r="B27" s="8">
        <v>-122.8</v>
      </c>
      <c r="C27" s="8">
        <v>-18</v>
      </c>
      <c r="D27" s="8">
        <v>33.799999999999997</v>
      </c>
      <c r="E27" s="8">
        <v>369.8</v>
      </c>
      <c r="F27" s="8">
        <v>1100</v>
      </c>
      <c r="G27" s="8">
        <v>1400</v>
      </c>
      <c r="H27" s="8">
        <v>-1164</v>
      </c>
      <c r="I27" s="8">
        <v>-2300</v>
      </c>
      <c r="J27" s="8">
        <v>3100</v>
      </c>
      <c r="K27" s="8">
        <v>9.6</v>
      </c>
    </row>
    <row r="28" spans="1:11" ht="15" customHeight="1" outlineLevel="3" x14ac:dyDescent="0.15">
      <c r="A28" s="24" t="s">
        <v>25</v>
      </c>
      <c r="B28" s="6">
        <v>-122.8</v>
      </c>
      <c r="C28" s="6">
        <v>-18</v>
      </c>
      <c r="D28" s="5">
        <v>33.799999999999997</v>
      </c>
      <c r="E28" s="5">
        <v>369.8</v>
      </c>
      <c r="F28" s="5">
        <v>1100</v>
      </c>
      <c r="G28" s="5">
        <v>1400</v>
      </c>
      <c r="H28" s="6">
        <v>-1164</v>
      </c>
      <c r="I28" s="6">
        <v>-2300</v>
      </c>
      <c r="J28" s="5">
        <v>3100</v>
      </c>
      <c r="K28" s="5">
        <v>9.6</v>
      </c>
    </row>
    <row r="29" spans="1:11" ht="15" customHeight="1" x14ac:dyDescent="0.15">
      <c r="A29" s="20" t="s">
        <v>23</v>
      </c>
      <c r="B29" s="8">
        <v>-176.74100000000001</v>
      </c>
      <c r="C29" s="8">
        <v>-122.779</v>
      </c>
      <c r="D29" s="8">
        <v>37.848999999999997</v>
      </c>
      <c r="E29" s="8">
        <v>20.832000000000001</v>
      </c>
      <c r="F29" s="8">
        <v>30.042999999999999</v>
      </c>
      <c r="G29" s="8">
        <v>79.968999999999994</v>
      </c>
      <c r="H29" s="8">
        <v>106.247</v>
      </c>
      <c r="I29" s="8">
        <v>110.726</v>
      </c>
      <c r="J29" s="8">
        <v>140.75899999999999</v>
      </c>
      <c r="K29" s="8">
        <v>157.15</v>
      </c>
    </row>
    <row r="30" spans="1:11" ht="15" customHeight="1" outlineLevel="1" x14ac:dyDescent="0.15">
      <c r="A30" s="19" t="s">
        <v>22</v>
      </c>
      <c r="B30" s="5">
        <v>2.5880000000000001</v>
      </c>
      <c r="C30" s="5">
        <v>1.0960000000000001</v>
      </c>
      <c r="D30" s="5">
        <v>4.3600000000000003</v>
      </c>
      <c r="E30" s="5">
        <v>1.681</v>
      </c>
      <c r="F30" s="5">
        <v>2.1709999999999998</v>
      </c>
      <c r="G30" s="5">
        <v>6.53</v>
      </c>
      <c r="H30" s="5">
        <v>9.3339999999999996</v>
      </c>
      <c r="I30" s="5">
        <v>4.6550000000000002</v>
      </c>
      <c r="J30" s="5">
        <v>5.1890000000000001</v>
      </c>
      <c r="K30" s="5">
        <v>7.8090000000000002</v>
      </c>
    </row>
    <row r="31" spans="1:11" ht="15" customHeight="1" x14ac:dyDescent="0.15">
      <c r="A31" s="20" t="s">
        <v>16</v>
      </c>
      <c r="B31" s="8">
        <v>-179.32900000000001</v>
      </c>
      <c r="C31" s="8">
        <v>-123.875</v>
      </c>
      <c r="D31" s="8">
        <v>33.488999999999997</v>
      </c>
      <c r="E31" s="8">
        <v>19.151</v>
      </c>
      <c r="F31" s="8">
        <v>27.872</v>
      </c>
      <c r="G31" s="8">
        <v>73.438999999999993</v>
      </c>
      <c r="H31" s="8">
        <v>96.912999999999997</v>
      </c>
      <c r="I31" s="8">
        <v>106.071</v>
      </c>
      <c r="J31" s="8">
        <v>135.57</v>
      </c>
      <c r="K31" s="8">
        <v>149.34100000000001</v>
      </c>
    </row>
    <row r="32" spans="1:11" ht="15" customHeight="1" outlineLevel="1" x14ac:dyDescent="0.15">
      <c r="A32" s="19" t="s">
        <v>15</v>
      </c>
      <c r="B32" s="5">
        <v>0</v>
      </c>
      <c r="C32" s="5">
        <v>0</v>
      </c>
      <c r="D32" s="5">
        <v>2.6110000000000002</v>
      </c>
      <c r="E32" s="5">
        <v>2.3490000000000002</v>
      </c>
      <c r="F32" s="6">
        <v>-0.255</v>
      </c>
      <c r="G32" s="5">
        <v>1.9339999999999999</v>
      </c>
      <c r="H32" s="5">
        <v>3.5219999999999998</v>
      </c>
      <c r="I32" s="5">
        <v>0.54100000000000004</v>
      </c>
      <c r="J32" s="5">
        <v>1.444</v>
      </c>
      <c r="K32" s="5">
        <v>5.8159999999999998</v>
      </c>
    </row>
    <row r="33" spans="1:11" ht="15" customHeight="1" x14ac:dyDescent="0.15">
      <c r="A33" s="20" t="s">
        <v>14</v>
      </c>
      <c r="B33" s="8">
        <v>-179.32900000000001</v>
      </c>
      <c r="C33" s="8">
        <v>-123.875</v>
      </c>
      <c r="D33" s="8">
        <v>30.878</v>
      </c>
      <c r="E33" s="8">
        <v>16.802</v>
      </c>
      <c r="F33" s="8">
        <v>28.126999999999999</v>
      </c>
      <c r="G33" s="8">
        <v>71.504999999999995</v>
      </c>
      <c r="H33" s="8">
        <v>93.391000000000005</v>
      </c>
      <c r="I33" s="8">
        <v>105.53</v>
      </c>
      <c r="J33" s="8">
        <v>134.126</v>
      </c>
      <c r="K33" s="8">
        <v>143.52500000000001</v>
      </c>
    </row>
    <row r="34" spans="1:11" ht="15" customHeight="1" outlineLevel="1" x14ac:dyDescent="0.15">
      <c r="A34" s="19" t="s">
        <v>12</v>
      </c>
      <c r="B34" s="6">
        <v>-179.32900000000001</v>
      </c>
      <c r="C34" s="6">
        <v>-123.875</v>
      </c>
      <c r="D34" s="5">
        <v>30.878</v>
      </c>
      <c r="E34" s="5">
        <v>16.802</v>
      </c>
      <c r="F34" s="5">
        <v>28.126999999999999</v>
      </c>
      <c r="G34" s="5">
        <v>71.504999999999995</v>
      </c>
      <c r="H34" s="5">
        <v>93.391000000000005</v>
      </c>
      <c r="I34" s="5">
        <v>105.53</v>
      </c>
      <c r="J34" s="5">
        <v>134.126</v>
      </c>
      <c r="K34" s="5">
        <v>143.52500000000001</v>
      </c>
    </row>
    <row r="35" spans="1:11" ht="15" customHeight="1" x14ac:dyDescent="0.15">
      <c r="A35" s="20" t="s">
        <v>11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</row>
    <row r="36" spans="1:11" ht="15" customHeight="1" outlineLevel="1" x14ac:dyDescent="0.15">
      <c r="A36" s="19" t="s">
        <v>10</v>
      </c>
      <c r="B36" s="18">
        <v>-4.5439E-2</v>
      </c>
      <c r="C36" s="18">
        <v>-5.3671000000000003E-2</v>
      </c>
      <c r="D36" s="18">
        <v>-1.0796E-2</v>
      </c>
      <c r="E36" s="18">
        <v>-0.10916099999999999</v>
      </c>
      <c r="F36" s="18">
        <v>-0.32564599999999999</v>
      </c>
      <c r="G36" s="18">
        <v>-0.39065</v>
      </c>
      <c r="H36" s="14">
        <v>0.37204300000000001</v>
      </c>
      <c r="I36" s="14">
        <v>0.71477199999999996</v>
      </c>
      <c r="J36" s="18">
        <v>-0.84311800000000003</v>
      </c>
      <c r="K36" s="14">
        <v>5.5620999999999997E-2</v>
      </c>
    </row>
    <row r="37" spans="1:11" ht="15" customHeight="1" outlineLevel="1" x14ac:dyDescent="0.15">
      <c r="A37" s="9" t="s">
        <v>9</v>
      </c>
      <c r="B37" s="17">
        <v>-8.7300000000000003E-2</v>
      </c>
      <c r="C37" s="17">
        <v>-5.9799999999999999E-2</v>
      </c>
      <c r="D37" s="17">
        <v>1.4800000000000001E-2</v>
      </c>
      <c r="E37" s="17">
        <v>8.0000000000000002E-3</v>
      </c>
      <c r="F37" s="17">
        <v>1.32E-2</v>
      </c>
      <c r="G37" s="17">
        <v>3.3099999999999997E-2</v>
      </c>
      <c r="H37" s="17">
        <v>4.2700000000000002E-2</v>
      </c>
      <c r="I37" s="17">
        <v>4.7699999999999999E-2</v>
      </c>
      <c r="J37" s="17">
        <v>6.0100000000000001E-2</v>
      </c>
      <c r="K37" s="17">
        <v>6.3799999999999996E-2</v>
      </c>
    </row>
    <row r="38" spans="1:11" ht="15" customHeight="1" outlineLevel="2" x14ac:dyDescent="0.15">
      <c r="A38" s="7" t="s">
        <v>8</v>
      </c>
      <c r="B38" s="14">
        <v>2054.799</v>
      </c>
      <c r="C38" s="14">
        <v>2073.2649999999999</v>
      </c>
      <c r="D38" s="14">
        <v>2090.107</v>
      </c>
      <c r="E38" s="14">
        <v>2107.7800000000002</v>
      </c>
      <c r="F38" s="14">
        <v>2131.2240000000002</v>
      </c>
      <c r="G38" s="14">
        <v>2162.5300000000002</v>
      </c>
      <c r="H38" s="14">
        <v>2187.2139999999999</v>
      </c>
      <c r="I38" s="14">
        <v>2213.5450000000001</v>
      </c>
      <c r="J38" s="14">
        <v>2231.5920000000001</v>
      </c>
      <c r="K38" s="14">
        <v>2250.0320000000002</v>
      </c>
    </row>
    <row r="39" spans="1:11" ht="15" customHeight="1" outlineLevel="2" x14ac:dyDescent="0.15">
      <c r="A39" s="4" t="s">
        <v>5</v>
      </c>
      <c r="B39" s="12">
        <v>2062.741</v>
      </c>
      <c r="C39" s="12">
        <v>2079.6640000000002</v>
      </c>
      <c r="D39" s="12">
        <v>2099.0749999999998</v>
      </c>
      <c r="E39" s="12">
        <v>2117.73</v>
      </c>
      <c r="F39" s="12">
        <v>2149.98</v>
      </c>
      <c r="G39" s="12">
        <v>2175.241</v>
      </c>
      <c r="H39" s="12">
        <v>2200.1280000000002</v>
      </c>
      <c r="I39" s="12">
        <v>2226.9630000000002</v>
      </c>
      <c r="J39" s="12">
        <v>2237.9389999999999</v>
      </c>
      <c r="K39" s="12">
        <v>2269.8090000000002</v>
      </c>
    </row>
    <row r="40" spans="1:11" ht="15" customHeight="1" outlineLevel="1" x14ac:dyDescent="0.15">
      <c r="A40" s="16" t="s">
        <v>7</v>
      </c>
      <c r="B40" s="15">
        <v>-8.7300000000000003E-2</v>
      </c>
      <c r="C40" s="15">
        <v>-5.9799999999999999E-2</v>
      </c>
      <c r="D40" s="15">
        <v>1.4E-2</v>
      </c>
      <c r="E40" s="15">
        <v>7.6E-3</v>
      </c>
      <c r="F40" s="15">
        <v>1.24E-2</v>
      </c>
      <c r="G40" s="15">
        <v>3.0800000000000001E-2</v>
      </c>
      <c r="H40" s="15">
        <v>3.9600000000000003E-2</v>
      </c>
      <c r="I40" s="15">
        <v>4.3999999999999997E-2</v>
      </c>
      <c r="J40" s="15">
        <v>5.5599999999999997E-2</v>
      </c>
      <c r="K40" s="15">
        <v>5.8400000000000001E-2</v>
      </c>
    </row>
    <row r="41" spans="1:11" ht="15" customHeight="1" outlineLevel="2" x14ac:dyDescent="0.15">
      <c r="A41" s="4" t="s">
        <v>6</v>
      </c>
      <c r="B41" s="12">
        <v>2054.799</v>
      </c>
      <c r="C41" s="12">
        <v>2073.2649999999999</v>
      </c>
      <c r="D41" s="12">
        <v>2203.7330000000002</v>
      </c>
      <c r="E41" s="12">
        <v>2217.4389999999999</v>
      </c>
      <c r="F41" s="12">
        <v>2278.1550000000002</v>
      </c>
      <c r="G41" s="12">
        <v>2325.6</v>
      </c>
      <c r="H41" s="12">
        <v>2357.7420000000002</v>
      </c>
      <c r="I41" s="12">
        <v>2400.107</v>
      </c>
      <c r="J41" s="12">
        <v>2414.6959999999999</v>
      </c>
      <c r="K41" s="12">
        <v>2459.5889999999999</v>
      </c>
    </row>
    <row r="42" spans="1:11" ht="15" customHeight="1" outlineLevel="2" x14ac:dyDescent="0.15">
      <c r="A42" s="7" t="s">
        <v>5</v>
      </c>
      <c r="B42" s="14">
        <v>2062.741</v>
      </c>
      <c r="C42" s="14">
        <v>2079.6640000000002</v>
      </c>
      <c r="D42" s="14">
        <v>2099.0749999999998</v>
      </c>
      <c r="E42" s="14">
        <v>2117.73</v>
      </c>
      <c r="F42" s="14">
        <v>2149.98</v>
      </c>
      <c r="G42" s="14">
        <v>2175.241</v>
      </c>
      <c r="H42" s="14">
        <v>2200.1280000000002</v>
      </c>
      <c r="I42" s="14">
        <v>2226.9630000000002</v>
      </c>
      <c r="J42" s="14">
        <v>2237.9389999999999</v>
      </c>
      <c r="K42" s="14">
        <v>2269.8090000000002</v>
      </c>
    </row>
    <row r="43" spans="1:11" ht="15" customHeight="1" outlineLevel="1" x14ac:dyDescent="0.15">
      <c r="A43" s="13" t="s">
        <v>4</v>
      </c>
      <c r="B43" s="12">
        <v>0</v>
      </c>
      <c r="C43" s="12">
        <v>0</v>
      </c>
      <c r="D43" s="12">
        <v>7.1109999999999998</v>
      </c>
      <c r="E43" s="12">
        <v>0</v>
      </c>
      <c r="F43" s="12">
        <v>0</v>
      </c>
      <c r="G43" s="12">
        <v>0</v>
      </c>
      <c r="H43" s="12">
        <v>0</v>
      </c>
      <c r="I43" s="12">
        <v>2.085</v>
      </c>
      <c r="J43" s="12">
        <v>23.321999999999999</v>
      </c>
      <c r="K43" s="12">
        <v>26.542000000000002</v>
      </c>
    </row>
    <row r="44" spans="1:11" ht="15" customHeight="1" x14ac:dyDescent="0.15">
      <c r="A44" s="10" t="s">
        <v>3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" customHeight="1" outlineLevel="1" x14ac:dyDescent="0.15">
      <c r="A45" s="9" t="s">
        <v>3</v>
      </c>
      <c r="B45" s="17">
        <v>-36.85</v>
      </c>
      <c r="C45" s="17">
        <v>-57.497999999999998</v>
      </c>
      <c r="D45" s="17">
        <v>-9.2040000000000006</v>
      </c>
      <c r="E45" s="17">
        <v>12.435</v>
      </c>
      <c r="F45" s="17">
        <v>18.472999999999999</v>
      </c>
      <c r="G45" s="17">
        <v>48.646000000000001</v>
      </c>
      <c r="H45" s="17">
        <v>73.766000000000005</v>
      </c>
      <c r="I45" s="17">
        <v>89.319000000000003</v>
      </c>
      <c r="J45" s="17">
        <v>113.395</v>
      </c>
      <c r="K45" s="17">
        <v>121.227</v>
      </c>
    </row>
    <row r="46" spans="1:11" ht="15" customHeight="1" outlineLevel="2" x14ac:dyDescent="0.15">
      <c r="A46" s="7" t="s">
        <v>2</v>
      </c>
      <c r="B46" s="18">
        <v>-41.744999999999997</v>
      </c>
      <c r="C46" s="18">
        <v>-62.191000000000003</v>
      </c>
      <c r="D46" s="18">
        <v>-17.826000000000001</v>
      </c>
      <c r="E46" s="14">
        <v>4.1150000000000002</v>
      </c>
      <c r="F46" s="14">
        <v>10.074</v>
      </c>
      <c r="G46" s="14">
        <v>39.982999999999997</v>
      </c>
      <c r="H46" s="14">
        <v>65.793999999999997</v>
      </c>
      <c r="I46" s="14">
        <v>80.881</v>
      </c>
      <c r="J46" s="14">
        <v>105.339</v>
      </c>
      <c r="K46" s="14">
        <v>113.14</v>
      </c>
    </row>
    <row r="47" spans="1:11" ht="15" customHeight="1" outlineLevel="2" x14ac:dyDescent="0.15">
      <c r="A47" s="4" t="s">
        <v>1</v>
      </c>
      <c r="B47" s="12">
        <v>4.8949999999999996</v>
      </c>
      <c r="C47" s="12">
        <v>4.6929999999999996</v>
      </c>
      <c r="D47" s="12">
        <v>8.6219999999999999</v>
      </c>
      <c r="E47" s="12">
        <v>8.32</v>
      </c>
      <c r="F47" s="12">
        <v>8.3989999999999991</v>
      </c>
      <c r="G47" s="12">
        <v>8.6630000000000003</v>
      </c>
      <c r="H47" s="12">
        <v>7.9720000000000004</v>
      </c>
      <c r="I47" s="12">
        <v>8.4380000000000006</v>
      </c>
      <c r="J47" s="12">
        <v>8.0559999999999992</v>
      </c>
      <c r="K47" s="12">
        <v>8.0869999999999997</v>
      </c>
    </row>
    <row r="48" spans="1:11" ht="15" customHeight="1" x14ac:dyDescent="0.15">
      <c r="A48" s="2" t="s">
        <v>0</v>
      </c>
    </row>
  </sheetData>
  <mergeCells count="1">
    <mergeCell ref="O9:U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3180-0C4F-4FE8-AF31-E51FEC03D92D}">
  <sheetPr>
    <outlinePr summaryBelow="0" summaryRight="0"/>
  </sheetPr>
  <dimension ref="A1:D10"/>
  <sheetViews>
    <sheetView workbookViewId="0">
      <selection activeCell="G40" sqref="G40"/>
    </sheetView>
  </sheetViews>
  <sheetFormatPr baseColWidth="10" defaultColWidth="9.1640625" defaultRowHeight="15" customHeight="1" x14ac:dyDescent="0.15"/>
  <cols>
    <col min="1" max="1" width="23.6640625" style="1" customWidth="1"/>
    <col min="2" max="4" width="8.83203125" style="1" customWidth="1"/>
    <col min="5" max="16384" width="9.1640625" style="1"/>
  </cols>
  <sheetData>
    <row r="1" spans="1:4" ht="15" customHeight="1" x14ac:dyDescent="0.15">
      <c r="A1" s="31" t="s">
        <v>148</v>
      </c>
    </row>
    <row r="2" spans="1:4" ht="15" customHeight="1" x14ac:dyDescent="0.15">
      <c r="A2" s="1" t="s">
        <v>154</v>
      </c>
    </row>
    <row r="3" spans="1:4" ht="15" customHeight="1" x14ac:dyDescent="0.15">
      <c r="A3" s="28"/>
      <c r="B3" s="28" t="s">
        <v>146</v>
      </c>
      <c r="C3" s="28" t="s">
        <v>145</v>
      </c>
      <c r="D3" s="28" t="s">
        <v>144</v>
      </c>
    </row>
    <row r="4" spans="1:4" ht="15" customHeight="1" x14ac:dyDescent="0.15">
      <c r="A4" s="28"/>
      <c r="B4" s="28" t="s">
        <v>143</v>
      </c>
      <c r="C4" s="28" t="s">
        <v>142</v>
      </c>
      <c r="D4" s="28" t="s">
        <v>141</v>
      </c>
    </row>
    <row r="5" spans="1:4" ht="15" customHeight="1" x14ac:dyDescent="0.15">
      <c r="A5" s="11" t="s">
        <v>121</v>
      </c>
      <c r="B5" s="75">
        <v>14.686400000000001</v>
      </c>
      <c r="C5" s="75">
        <v>20.743300000000001</v>
      </c>
      <c r="D5" s="75">
        <v>20</v>
      </c>
    </row>
    <row r="6" spans="1:4" ht="15" customHeight="1" x14ac:dyDescent="0.15">
      <c r="A6" s="23" t="s">
        <v>96</v>
      </c>
      <c r="B6" s="74">
        <v>1067.54</v>
      </c>
      <c r="C6" s="74">
        <v>1283.5899999999999</v>
      </c>
      <c r="D6" s="23" t="s">
        <v>149</v>
      </c>
    </row>
    <row r="7" spans="1:4" ht="15" customHeight="1" x14ac:dyDescent="0.15">
      <c r="A7" s="11" t="s">
        <v>153</v>
      </c>
      <c r="B7" s="11" t="s">
        <v>149</v>
      </c>
      <c r="C7" s="11" t="s">
        <v>149</v>
      </c>
      <c r="D7" s="11" t="s">
        <v>149</v>
      </c>
    </row>
    <row r="8" spans="1:4" ht="15" customHeight="1" x14ac:dyDescent="0.15">
      <c r="A8" s="23" t="s">
        <v>152</v>
      </c>
      <c r="B8" s="74">
        <v>1053.1500000000001</v>
      </c>
      <c r="C8" s="74">
        <v>1436.82</v>
      </c>
      <c r="D8" s="23" t="s">
        <v>149</v>
      </c>
    </row>
    <row r="9" spans="1:4" ht="15" customHeight="1" x14ac:dyDescent="0.15">
      <c r="A9" s="11" t="s">
        <v>151</v>
      </c>
      <c r="B9" s="77">
        <v>-984.952</v>
      </c>
      <c r="C9" s="77">
        <v>-21.753499999999999</v>
      </c>
      <c r="D9" s="11" t="s">
        <v>149</v>
      </c>
    </row>
    <row r="10" spans="1:4" ht="15" customHeight="1" x14ac:dyDescent="0.15">
      <c r="A10" s="23" t="s">
        <v>150</v>
      </c>
      <c r="B10" s="74">
        <v>182.45</v>
      </c>
      <c r="C10" s="76">
        <v>-400</v>
      </c>
      <c r="D10" s="23" t="s">
        <v>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3B7C-3822-4B18-BF38-57486CE6A65F}">
  <sheetPr>
    <outlinePr summaryBelow="0" summaryRight="0"/>
  </sheetPr>
  <dimension ref="A1:H56"/>
  <sheetViews>
    <sheetView topLeftCell="A14" zoomScale="115" workbookViewId="0">
      <selection activeCell="H19" sqref="H19"/>
    </sheetView>
  </sheetViews>
  <sheetFormatPr baseColWidth="10" defaultColWidth="9.1640625" defaultRowHeight="15" customHeight="1" outlineLevelRow="3" x14ac:dyDescent="0.15"/>
  <cols>
    <col min="1" max="1" width="54.5" style="1" customWidth="1"/>
    <col min="2" max="8" width="8" style="1" customWidth="1"/>
    <col min="9" max="16384" width="9.1640625" style="1"/>
  </cols>
  <sheetData>
    <row r="1" spans="1:8" ht="15" customHeight="1" x14ac:dyDescent="0.15">
      <c r="A1" s="31" t="s">
        <v>56</v>
      </c>
    </row>
    <row r="2" spans="1:8" ht="15" customHeight="1" x14ac:dyDescent="0.15">
      <c r="A2" s="30" t="s">
        <v>136</v>
      </c>
    </row>
    <row r="3" spans="1:8" ht="15" customHeight="1" x14ac:dyDescent="0.15">
      <c r="A3" s="29"/>
      <c r="B3" s="29"/>
      <c r="C3" s="29"/>
      <c r="D3" s="29"/>
      <c r="E3" s="29"/>
      <c r="F3" s="29"/>
      <c r="G3" s="29"/>
      <c r="H3" s="29"/>
    </row>
    <row r="5" spans="1:8" ht="15" customHeight="1" x14ac:dyDescent="0.15">
      <c r="A5" s="28" t="s">
        <v>54</v>
      </c>
      <c r="B5" s="28"/>
      <c r="C5" s="28"/>
      <c r="D5" s="28"/>
      <c r="E5" s="28"/>
      <c r="F5" s="28"/>
      <c r="G5" s="28"/>
      <c r="H5" s="28"/>
    </row>
    <row r="6" spans="1:8" ht="15" customHeight="1" x14ac:dyDescent="0.15">
      <c r="A6" s="28" t="s">
        <v>53</v>
      </c>
      <c r="B6" s="28"/>
      <c r="C6" s="28"/>
      <c r="D6" s="28"/>
      <c r="E6" s="28"/>
      <c r="F6" s="28"/>
      <c r="G6" s="28"/>
      <c r="H6" s="28"/>
    </row>
    <row r="7" spans="1:8" ht="15" customHeight="1" x14ac:dyDescent="0.15">
      <c r="A7" s="28" t="s">
        <v>52</v>
      </c>
      <c r="B7" s="28"/>
      <c r="C7" s="28"/>
      <c r="D7" s="28"/>
      <c r="E7" s="28"/>
      <c r="F7" s="28"/>
      <c r="G7" s="28"/>
      <c r="H7" s="28"/>
    </row>
    <row r="8" spans="1:8" ht="15" customHeight="1" x14ac:dyDescent="0.15">
      <c r="A8" s="28"/>
      <c r="B8" s="28" t="s">
        <v>51</v>
      </c>
      <c r="C8" s="28" t="s">
        <v>50</v>
      </c>
      <c r="D8" s="28" t="s">
        <v>49</v>
      </c>
      <c r="E8" s="28" t="s">
        <v>48</v>
      </c>
      <c r="F8" s="28" t="s">
        <v>47</v>
      </c>
      <c r="G8" s="28" t="s">
        <v>46</v>
      </c>
      <c r="H8" s="28" t="s">
        <v>45</v>
      </c>
    </row>
    <row r="9" spans="1:8" ht="15" customHeight="1" x14ac:dyDescent="0.15">
      <c r="A9" s="28"/>
      <c r="B9" s="28"/>
      <c r="C9" s="28"/>
      <c r="D9" s="28"/>
      <c r="E9" s="28"/>
      <c r="F9" s="28"/>
      <c r="G9" s="28"/>
      <c r="H9" s="28" t="s">
        <v>44</v>
      </c>
    </row>
    <row r="10" spans="1:8" ht="15" customHeight="1" x14ac:dyDescent="0.15">
      <c r="A10" s="10" t="s">
        <v>135</v>
      </c>
      <c r="B10" s="10"/>
      <c r="C10" s="10"/>
      <c r="D10" s="10"/>
      <c r="E10" s="10"/>
      <c r="F10" s="10"/>
      <c r="G10" s="10"/>
      <c r="H10" s="10"/>
    </row>
    <row r="11" spans="1:8" ht="15" customHeight="1" outlineLevel="1" x14ac:dyDescent="0.15">
      <c r="A11" s="13" t="s">
        <v>134</v>
      </c>
      <c r="B11" s="22">
        <v>-580.02700000000004</v>
      </c>
      <c r="C11" s="22">
        <v>-579.64599999999996</v>
      </c>
      <c r="D11" s="22">
        <v>-1166.3910000000001</v>
      </c>
      <c r="E11" s="22">
        <v>-520.37900000000002</v>
      </c>
      <c r="F11" s="22">
        <v>-371.09399999999999</v>
      </c>
      <c r="G11" s="3">
        <v>217.375</v>
      </c>
      <c r="H11" s="3">
        <v>487.89499999999998</v>
      </c>
    </row>
    <row r="12" spans="1:8" ht="15" customHeight="1" outlineLevel="1" x14ac:dyDescent="0.15">
      <c r="A12" s="16" t="s">
        <v>133</v>
      </c>
      <c r="B12" s="21">
        <v>13.91</v>
      </c>
      <c r="C12" s="21">
        <v>12.255000000000001</v>
      </c>
      <c r="D12" s="21">
        <v>13.871</v>
      </c>
      <c r="E12" s="21">
        <v>14.897</v>
      </c>
      <c r="F12" s="21">
        <v>22.521999999999998</v>
      </c>
      <c r="G12" s="21">
        <v>33.353999999999999</v>
      </c>
      <c r="H12" s="21">
        <v>32.552999999999997</v>
      </c>
    </row>
    <row r="13" spans="1:8" ht="15" customHeight="1" outlineLevel="2" x14ac:dyDescent="0.15">
      <c r="A13" s="4" t="s">
        <v>132</v>
      </c>
      <c r="B13" s="3">
        <v>13.91</v>
      </c>
      <c r="C13" s="3">
        <v>12.255000000000001</v>
      </c>
      <c r="D13" s="3">
        <v>13.871</v>
      </c>
      <c r="E13" s="3">
        <v>14.897</v>
      </c>
      <c r="F13" s="3">
        <v>22.521999999999998</v>
      </c>
      <c r="G13" s="3">
        <v>33.353999999999999</v>
      </c>
      <c r="H13" s="3">
        <v>26.172000000000001</v>
      </c>
    </row>
    <row r="14" spans="1:8" ht="15" customHeight="1" outlineLevel="1" x14ac:dyDescent="0.15">
      <c r="A14" s="16" t="s">
        <v>131</v>
      </c>
      <c r="B14" s="21">
        <v>0</v>
      </c>
      <c r="C14" s="21">
        <v>0</v>
      </c>
      <c r="D14" s="21">
        <v>0</v>
      </c>
      <c r="E14" s="21">
        <v>43.316000000000003</v>
      </c>
      <c r="F14" s="21">
        <v>-0.17399999999999999</v>
      </c>
      <c r="G14" s="21">
        <v>-4.806</v>
      </c>
      <c r="H14" s="21">
        <v>-4.806</v>
      </c>
    </row>
    <row r="15" spans="1:8" ht="15" customHeight="1" outlineLevel="2" x14ac:dyDescent="0.15">
      <c r="A15" s="4" t="s">
        <v>130</v>
      </c>
      <c r="B15" s="3">
        <v>0</v>
      </c>
      <c r="C15" s="3">
        <v>0</v>
      </c>
      <c r="D15" s="3">
        <v>0</v>
      </c>
      <c r="E15" s="3">
        <v>43.316000000000003</v>
      </c>
      <c r="F15" s="22">
        <v>-0.17399999999999999</v>
      </c>
      <c r="G15" s="22">
        <v>-4.806</v>
      </c>
      <c r="H15" s="22">
        <v>-4.806</v>
      </c>
    </row>
    <row r="16" spans="1:8" ht="15" customHeight="1" outlineLevel="1" x14ac:dyDescent="0.15">
      <c r="A16" s="19" t="s">
        <v>103</v>
      </c>
      <c r="B16" s="5">
        <v>224.53</v>
      </c>
      <c r="C16" s="5">
        <v>268.149</v>
      </c>
      <c r="D16" s="5">
        <v>1310.0309999999999</v>
      </c>
      <c r="E16" s="5">
        <v>888.06899999999996</v>
      </c>
      <c r="F16" s="5">
        <v>839.58600000000001</v>
      </c>
      <c r="G16" s="5">
        <v>460.024</v>
      </c>
      <c r="H16" s="5">
        <v>570.51700000000005</v>
      </c>
    </row>
    <row r="17" spans="1:8" ht="15" customHeight="1" outlineLevel="1" x14ac:dyDescent="0.15">
      <c r="A17" s="13" t="s">
        <v>129</v>
      </c>
      <c r="B17" s="22">
        <v>-341.58699999999999</v>
      </c>
      <c r="C17" s="22">
        <v>-299.24200000000002</v>
      </c>
      <c r="D17" s="3">
        <v>157.511</v>
      </c>
      <c r="E17" s="3">
        <v>425.90300000000002</v>
      </c>
      <c r="F17" s="3">
        <v>490.84</v>
      </c>
      <c r="G17" s="3">
        <v>705.947</v>
      </c>
      <c r="H17" s="3">
        <v>1086.1590000000001</v>
      </c>
    </row>
    <row r="18" spans="1:8" ht="15" customHeight="1" outlineLevel="1" x14ac:dyDescent="0.15">
      <c r="A18" s="16" t="s">
        <v>128</v>
      </c>
      <c r="B18" s="21">
        <v>302.57499999999999</v>
      </c>
      <c r="C18" s="21">
        <v>134.02699999999999</v>
      </c>
      <c r="D18" s="21">
        <v>-454.11900000000003</v>
      </c>
      <c r="E18" s="21">
        <v>-92.052000000000007</v>
      </c>
      <c r="F18" s="21">
        <v>-267.10300000000001</v>
      </c>
      <c r="G18" s="21">
        <v>6.2359999999999998</v>
      </c>
      <c r="H18" s="21">
        <v>-91.448999999999998</v>
      </c>
    </row>
    <row r="19" spans="1:8" ht="15" customHeight="1" outlineLevel="2" x14ac:dyDescent="0.15">
      <c r="A19" s="4" t="s">
        <v>127</v>
      </c>
      <c r="B19" s="22">
        <v>-10.483000000000001</v>
      </c>
      <c r="C19" s="22">
        <v>-23.905000000000001</v>
      </c>
      <c r="D19" s="22">
        <v>-108.476</v>
      </c>
      <c r="E19" s="22">
        <v>-35.237000000000002</v>
      </c>
      <c r="F19" s="22">
        <v>-77.519000000000005</v>
      </c>
      <c r="G19" s="22">
        <v>-106.15900000000001</v>
      </c>
      <c r="H19" s="22">
        <v>-258.10599999999999</v>
      </c>
    </row>
    <row r="20" spans="1:8" ht="15" customHeight="1" outlineLevel="2" x14ac:dyDescent="0.15">
      <c r="A20" s="7" t="s">
        <v>126</v>
      </c>
      <c r="B20" s="5">
        <v>10.968</v>
      </c>
      <c r="C20" s="5">
        <v>23.423999999999999</v>
      </c>
      <c r="D20" s="6">
        <v>-34.680999999999997</v>
      </c>
      <c r="E20" s="5">
        <v>57.767000000000003</v>
      </c>
      <c r="F20" s="6">
        <v>-29.859000000000002</v>
      </c>
      <c r="G20" s="6">
        <v>-31.832000000000001</v>
      </c>
      <c r="H20" s="5">
        <v>8.2650000000000006</v>
      </c>
    </row>
    <row r="21" spans="1:8" ht="15" customHeight="1" outlineLevel="2" x14ac:dyDescent="0.15">
      <c r="A21" s="4" t="s">
        <v>125</v>
      </c>
      <c r="B21" s="3">
        <v>25.103000000000002</v>
      </c>
      <c r="C21" s="3">
        <v>0.31900000000000001</v>
      </c>
      <c r="D21" s="3">
        <v>38.505000000000003</v>
      </c>
      <c r="E21" s="3">
        <v>15.244999999999999</v>
      </c>
      <c r="F21" s="3">
        <v>5.5270000000000001</v>
      </c>
      <c r="G21" s="3">
        <v>52.895000000000003</v>
      </c>
      <c r="H21" s="3">
        <v>92.492000000000004</v>
      </c>
    </row>
    <row r="22" spans="1:8" ht="15" customHeight="1" outlineLevel="2" x14ac:dyDescent="0.15">
      <c r="A22" s="7" t="s">
        <v>124</v>
      </c>
      <c r="B22" s="5">
        <v>276.98700000000002</v>
      </c>
      <c r="C22" s="5">
        <v>134.18899999999999</v>
      </c>
      <c r="D22" s="6">
        <v>-349.46699999999998</v>
      </c>
      <c r="E22" s="6">
        <v>-129.827</v>
      </c>
      <c r="F22" s="6">
        <v>-165.25200000000001</v>
      </c>
      <c r="G22" s="5">
        <v>91.331999999999994</v>
      </c>
      <c r="H22" s="5">
        <v>65.900000000000006</v>
      </c>
    </row>
    <row r="23" spans="1:8" ht="15" customHeight="1" outlineLevel="1" x14ac:dyDescent="0.15">
      <c r="A23" s="13" t="s">
        <v>123</v>
      </c>
      <c r="B23" s="22">
        <v>-39.012</v>
      </c>
      <c r="C23" s="22">
        <v>-165.215</v>
      </c>
      <c r="D23" s="22">
        <v>-296.608</v>
      </c>
      <c r="E23" s="3">
        <v>333.851</v>
      </c>
      <c r="F23" s="3">
        <v>223.73699999999999</v>
      </c>
      <c r="G23" s="3">
        <v>712.18299999999999</v>
      </c>
      <c r="H23" s="3">
        <v>994.71</v>
      </c>
    </row>
    <row r="24" spans="1:8" ht="15" customHeight="1" x14ac:dyDescent="0.15">
      <c r="A24" s="10" t="s">
        <v>122</v>
      </c>
      <c r="B24" s="10"/>
      <c r="C24" s="10"/>
      <c r="D24" s="10"/>
      <c r="E24" s="10"/>
      <c r="F24" s="10"/>
      <c r="G24" s="10"/>
      <c r="H24" s="10"/>
    </row>
    <row r="25" spans="1:8" ht="15" customHeight="1" outlineLevel="1" x14ac:dyDescent="0.15">
      <c r="A25" s="9" t="s">
        <v>121</v>
      </c>
      <c r="B25" s="8">
        <v>-15.404</v>
      </c>
      <c r="C25" s="8">
        <v>-13.096</v>
      </c>
      <c r="D25" s="8">
        <v>-12.236000000000001</v>
      </c>
      <c r="E25" s="8">
        <v>-12.627000000000001</v>
      </c>
      <c r="F25" s="8">
        <v>-40.027000000000001</v>
      </c>
      <c r="G25" s="8">
        <v>-15.114000000000001</v>
      </c>
      <c r="H25" s="8">
        <v>-14.388</v>
      </c>
    </row>
    <row r="26" spans="1:8" ht="15" customHeight="1" outlineLevel="2" x14ac:dyDescent="0.15">
      <c r="A26" s="7" t="s">
        <v>120</v>
      </c>
      <c r="B26" s="6">
        <v>-15.404</v>
      </c>
      <c r="C26" s="6">
        <v>-13.096</v>
      </c>
      <c r="D26" s="6">
        <v>-12.236000000000001</v>
      </c>
      <c r="E26" s="6">
        <v>-12.627000000000001</v>
      </c>
      <c r="F26" s="6">
        <v>-40.027000000000001</v>
      </c>
      <c r="G26" s="6">
        <v>-15.114000000000001</v>
      </c>
      <c r="H26" s="6">
        <v>-14.388</v>
      </c>
    </row>
    <row r="27" spans="1:8" ht="15" customHeight="1" outlineLevel="1" x14ac:dyDescent="0.15">
      <c r="A27" s="13" t="s">
        <v>119</v>
      </c>
      <c r="B27" s="3">
        <v>0</v>
      </c>
      <c r="C27" s="3">
        <v>0</v>
      </c>
      <c r="D27" s="3">
        <v>0</v>
      </c>
      <c r="E27" s="3">
        <v>0</v>
      </c>
      <c r="F27" s="3">
        <v>66.707999999999998</v>
      </c>
      <c r="G27" s="3">
        <v>0</v>
      </c>
      <c r="H27" s="3">
        <v>0</v>
      </c>
    </row>
    <row r="28" spans="1:8" ht="15" customHeight="1" outlineLevel="1" x14ac:dyDescent="0.15">
      <c r="A28" s="19" t="s">
        <v>118</v>
      </c>
      <c r="B28" s="5">
        <v>8.6199999999999992</v>
      </c>
      <c r="C28" s="5">
        <v>0</v>
      </c>
      <c r="D28" s="5">
        <v>0.25</v>
      </c>
      <c r="E28" s="5">
        <v>0</v>
      </c>
      <c r="F28" s="5">
        <v>0</v>
      </c>
      <c r="G28" s="5">
        <v>0</v>
      </c>
      <c r="H28" s="5">
        <v>0</v>
      </c>
    </row>
    <row r="29" spans="1:8" ht="15" customHeight="1" outlineLevel="1" x14ac:dyDescent="0.15">
      <c r="A29" s="9" t="s">
        <v>117</v>
      </c>
      <c r="B29" s="8">
        <v>0</v>
      </c>
      <c r="C29" s="8">
        <v>-8.8680000000000003</v>
      </c>
      <c r="D29" s="8">
        <v>-2.9340000000000002</v>
      </c>
      <c r="E29" s="8">
        <v>-382.26499999999999</v>
      </c>
      <c r="F29" s="8">
        <v>-72.180999999999997</v>
      </c>
      <c r="G29" s="8">
        <v>-2696.0659999999998</v>
      </c>
      <c r="H29" s="8">
        <v>-1531.6869999999999</v>
      </c>
    </row>
    <row r="30" spans="1:8" ht="15" customHeight="1" outlineLevel="2" x14ac:dyDescent="0.15">
      <c r="A30" s="7" t="s">
        <v>116</v>
      </c>
      <c r="B30" s="5">
        <v>0</v>
      </c>
      <c r="C30" s="5">
        <v>25.867999999999999</v>
      </c>
      <c r="D30" s="5">
        <v>2.9340000000000002</v>
      </c>
      <c r="E30" s="5">
        <v>382.26499999999999</v>
      </c>
      <c r="F30" s="5">
        <v>124.5</v>
      </c>
      <c r="G30" s="5">
        <v>5636.4059999999999</v>
      </c>
      <c r="H30" s="5">
        <v>4263.4350000000004</v>
      </c>
    </row>
    <row r="31" spans="1:8" ht="15" customHeight="1" outlineLevel="2" x14ac:dyDescent="0.15">
      <c r="A31" s="4" t="s">
        <v>115</v>
      </c>
      <c r="B31" s="3">
        <v>0</v>
      </c>
      <c r="C31" s="3">
        <v>17</v>
      </c>
      <c r="D31" s="3">
        <v>0</v>
      </c>
      <c r="E31" s="3">
        <v>0</v>
      </c>
      <c r="F31" s="3">
        <v>52.319000000000003</v>
      </c>
      <c r="G31" s="3">
        <v>2940.34</v>
      </c>
      <c r="H31" s="3">
        <v>2731.748</v>
      </c>
    </row>
    <row r="32" spans="1:8" ht="15" customHeight="1" outlineLevel="1" x14ac:dyDescent="0.15">
      <c r="A32" s="16" t="s">
        <v>103</v>
      </c>
      <c r="B32" s="21">
        <v>0</v>
      </c>
      <c r="C32" s="21">
        <v>0</v>
      </c>
      <c r="D32" s="21">
        <v>0</v>
      </c>
      <c r="E32" s="21">
        <v>-3.02</v>
      </c>
      <c r="F32" s="21">
        <v>7.2999999999999995E-2</v>
      </c>
      <c r="G32" s="21">
        <v>0</v>
      </c>
      <c r="H32" s="21">
        <v>-4</v>
      </c>
    </row>
    <row r="33" spans="1:8" ht="15" customHeight="1" outlineLevel="2" x14ac:dyDescent="0.15">
      <c r="A33" s="4" t="s">
        <v>102</v>
      </c>
      <c r="B33" s="3">
        <v>0</v>
      </c>
      <c r="C33" s="3">
        <v>0</v>
      </c>
      <c r="D33" s="3">
        <v>0</v>
      </c>
      <c r="E33" s="22">
        <v>-3.02</v>
      </c>
      <c r="F33" s="3">
        <v>0</v>
      </c>
      <c r="G33" s="3">
        <v>0</v>
      </c>
      <c r="H33" s="22">
        <v>-4</v>
      </c>
    </row>
    <row r="34" spans="1:8" ht="15" customHeight="1" outlineLevel="2" x14ac:dyDescent="0.15">
      <c r="A34" s="7" t="s">
        <v>101</v>
      </c>
      <c r="B34" s="5">
        <v>0</v>
      </c>
      <c r="C34" s="5">
        <v>0</v>
      </c>
      <c r="D34" s="5">
        <v>0</v>
      </c>
      <c r="E34" s="5">
        <v>0</v>
      </c>
      <c r="F34" s="5">
        <v>7.2999999999999995E-2</v>
      </c>
      <c r="G34" s="5">
        <v>0</v>
      </c>
      <c r="H34" s="5">
        <v>0</v>
      </c>
    </row>
    <row r="35" spans="1:8" ht="15" customHeight="1" outlineLevel="1" x14ac:dyDescent="0.15">
      <c r="A35" s="13" t="s">
        <v>114</v>
      </c>
      <c r="B35" s="22">
        <v>-6.7839999999999998</v>
      </c>
      <c r="C35" s="22">
        <v>-21.963999999999999</v>
      </c>
      <c r="D35" s="22">
        <v>-14.92</v>
      </c>
      <c r="E35" s="22">
        <v>-397.91199999999998</v>
      </c>
      <c r="F35" s="22">
        <v>-45.427</v>
      </c>
      <c r="G35" s="22">
        <v>-2711.18</v>
      </c>
      <c r="H35" s="22">
        <v>-1550.075</v>
      </c>
    </row>
    <row r="36" spans="1:8" ht="15" customHeight="1" x14ac:dyDescent="0.15">
      <c r="A36" s="10" t="s">
        <v>113</v>
      </c>
      <c r="B36" s="10"/>
      <c r="C36" s="10"/>
      <c r="D36" s="10"/>
      <c r="E36" s="10"/>
      <c r="F36" s="10"/>
      <c r="G36" s="10"/>
      <c r="H36" s="10"/>
    </row>
    <row r="37" spans="1:8" ht="15" customHeight="1" outlineLevel="1" x14ac:dyDescent="0.15">
      <c r="A37" s="9" t="s">
        <v>112</v>
      </c>
      <c r="B37" s="8">
        <v>101.44499999999999</v>
      </c>
      <c r="C37" s="8">
        <v>-68.677999999999997</v>
      </c>
      <c r="D37" s="8">
        <v>1237.5809999999999</v>
      </c>
      <c r="E37" s="8">
        <v>0</v>
      </c>
      <c r="F37" s="8">
        <v>86.088999999999999</v>
      </c>
      <c r="G37" s="8">
        <v>218.238</v>
      </c>
      <c r="H37" s="8">
        <v>276.01799999999997</v>
      </c>
    </row>
    <row r="38" spans="1:8" ht="15" customHeight="1" outlineLevel="2" x14ac:dyDescent="0.15">
      <c r="A38" s="7" t="s">
        <v>111</v>
      </c>
      <c r="B38" s="6">
        <v>-7.7060000000000004</v>
      </c>
      <c r="C38" s="6">
        <v>-193.07499999999999</v>
      </c>
      <c r="D38" s="6">
        <v>-3.7770000000000001</v>
      </c>
      <c r="E38" s="5">
        <v>0</v>
      </c>
      <c r="F38" s="5">
        <v>0</v>
      </c>
      <c r="G38" s="5">
        <v>0</v>
      </c>
      <c r="H38" s="6">
        <v>-45.597999999999999</v>
      </c>
    </row>
    <row r="39" spans="1:8" ht="15" customHeight="1" outlineLevel="2" x14ac:dyDescent="0.15">
      <c r="A39" s="27" t="s">
        <v>110</v>
      </c>
      <c r="B39" s="8">
        <v>109.151</v>
      </c>
      <c r="C39" s="8">
        <v>124.39700000000001</v>
      </c>
      <c r="D39" s="8">
        <v>1241.3579999999999</v>
      </c>
      <c r="E39" s="8">
        <v>0</v>
      </c>
      <c r="F39" s="8">
        <v>86.088999999999999</v>
      </c>
      <c r="G39" s="8">
        <v>218.238</v>
      </c>
      <c r="H39" s="8">
        <v>321.61599999999999</v>
      </c>
    </row>
    <row r="40" spans="1:8" ht="15" customHeight="1" outlineLevel="3" x14ac:dyDescent="0.15">
      <c r="A40" s="24" t="s">
        <v>109</v>
      </c>
      <c r="B40" s="5">
        <v>96.48</v>
      </c>
      <c r="C40" s="5">
        <v>107.5</v>
      </c>
      <c r="D40" s="5">
        <v>942.529</v>
      </c>
      <c r="E40" s="5">
        <v>0</v>
      </c>
      <c r="F40" s="5">
        <v>0</v>
      </c>
      <c r="G40" s="5">
        <v>0</v>
      </c>
      <c r="H40" s="5">
        <v>0</v>
      </c>
    </row>
    <row r="41" spans="1:8" ht="15" customHeight="1" outlineLevel="3" x14ac:dyDescent="0.15">
      <c r="A41" s="25" t="s">
        <v>108</v>
      </c>
      <c r="B41" s="3">
        <v>12.670999999999999</v>
      </c>
      <c r="C41" s="3">
        <v>16.896999999999998</v>
      </c>
      <c r="D41" s="3">
        <v>298.82900000000001</v>
      </c>
      <c r="E41" s="3">
        <v>0</v>
      </c>
      <c r="F41" s="3">
        <v>86.088999999999999</v>
      </c>
      <c r="G41" s="3">
        <v>218.238</v>
      </c>
      <c r="H41" s="3">
        <v>321.61599999999999</v>
      </c>
    </row>
    <row r="42" spans="1:8" ht="15" customHeight="1" outlineLevel="1" x14ac:dyDescent="0.15">
      <c r="A42" s="16" t="s">
        <v>107</v>
      </c>
      <c r="B42" s="21">
        <v>-56.491</v>
      </c>
      <c r="C42" s="21">
        <v>394.41300000000001</v>
      </c>
      <c r="D42" s="21">
        <v>-200.631</v>
      </c>
      <c r="E42" s="21">
        <v>307.45499999999998</v>
      </c>
      <c r="F42" s="21">
        <v>0</v>
      </c>
      <c r="G42" s="21">
        <v>0</v>
      </c>
      <c r="H42" s="21">
        <v>0</v>
      </c>
    </row>
    <row r="43" spans="1:8" ht="15" customHeight="1" outlineLevel="2" x14ac:dyDescent="0.15">
      <c r="A43" s="27" t="s">
        <v>106</v>
      </c>
      <c r="B43" s="8">
        <v>-56.491</v>
      </c>
      <c r="C43" s="8">
        <v>394.41300000000001</v>
      </c>
      <c r="D43" s="8">
        <v>-200.631</v>
      </c>
      <c r="E43" s="8">
        <v>307.45499999999998</v>
      </c>
      <c r="F43" s="8">
        <v>0</v>
      </c>
      <c r="G43" s="8">
        <v>0</v>
      </c>
      <c r="H43" s="8">
        <v>0</v>
      </c>
    </row>
    <row r="44" spans="1:8" ht="15" customHeight="1" outlineLevel="3" x14ac:dyDescent="0.15">
      <c r="A44" s="24" t="s">
        <v>105</v>
      </c>
      <c r="B44" s="5">
        <v>0</v>
      </c>
      <c r="C44" s="5">
        <v>544.41300000000001</v>
      </c>
      <c r="D44" s="5">
        <v>199.369</v>
      </c>
      <c r="E44" s="5">
        <v>507.45499999999998</v>
      </c>
      <c r="F44" s="5">
        <v>0</v>
      </c>
      <c r="G44" s="5">
        <v>0</v>
      </c>
      <c r="H44" s="5">
        <v>0</v>
      </c>
    </row>
    <row r="45" spans="1:8" ht="15" customHeight="1" outlineLevel="3" x14ac:dyDescent="0.15">
      <c r="A45" s="25" t="s">
        <v>104</v>
      </c>
      <c r="B45" s="22">
        <v>-56.491</v>
      </c>
      <c r="C45" s="22">
        <v>-150</v>
      </c>
      <c r="D45" s="22">
        <v>-400</v>
      </c>
      <c r="E45" s="22">
        <v>-200</v>
      </c>
      <c r="F45" s="3">
        <v>0</v>
      </c>
      <c r="G45" s="3">
        <v>0</v>
      </c>
      <c r="H45" s="3">
        <v>0</v>
      </c>
    </row>
    <row r="46" spans="1:8" ht="15" customHeight="1" outlineLevel="1" x14ac:dyDescent="0.15">
      <c r="A46" s="16" t="s">
        <v>103</v>
      </c>
      <c r="B46" s="21">
        <v>1.2</v>
      </c>
      <c r="C46" s="21">
        <v>-1.202</v>
      </c>
      <c r="D46" s="21">
        <v>-0.497</v>
      </c>
      <c r="E46" s="21">
        <v>-0.70799999999999996</v>
      </c>
      <c r="F46" s="21">
        <v>-9.2999999999999999E-2</v>
      </c>
      <c r="G46" s="21">
        <v>0.60099999999999998</v>
      </c>
      <c r="H46" s="21">
        <v>-8.5999999999999993E-2</v>
      </c>
    </row>
    <row r="47" spans="1:8" ht="15" customHeight="1" outlineLevel="2" x14ac:dyDescent="0.15">
      <c r="A47" s="4" t="s">
        <v>102</v>
      </c>
      <c r="B47" s="3">
        <v>0</v>
      </c>
      <c r="C47" s="22">
        <v>-1.202</v>
      </c>
      <c r="D47" s="22">
        <v>-0.497</v>
      </c>
      <c r="E47" s="22">
        <v>-0.70799999999999996</v>
      </c>
      <c r="F47" s="22">
        <v>-9.2999999999999999E-2</v>
      </c>
      <c r="G47" s="3">
        <v>0</v>
      </c>
      <c r="H47" s="3">
        <v>0</v>
      </c>
    </row>
    <row r="48" spans="1:8" ht="15" customHeight="1" outlineLevel="2" x14ac:dyDescent="0.15">
      <c r="A48" s="7" t="s">
        <v>101</v>
      </c>
      <c r="B48" s="5">
        <v>1.2</v>
      </c>
      <c r="C48" s="5">
        <v>0</v>
      </c>
      <c r="D48" s="5">
        <v>0</v>
      </c>
      <c r="E48" s="5">
        <v>0</v>
      </c>
      <c r="F48" s="5">
        <v>0</v>
      </c>
      <c r="G48" s="5">
        <v>0.60099999999999998</v>
      </c>
      <c r="H48" s="6">
        <v>-8.5999999999999993E-2</v>
      </c>
    </row>
    <row r="49" spans="1:8" ht="15" customHeight="1" outlineLevel="1" x14ac:dyDescent="0.15">
      <c r="A49" s="13" t="s">
        <v>100</v>
      </c>
      <c r="B49" s="3">
        <v>46.154000000000003</v>
      </c>
      <c r="C49" s="3">
        <v>324.53300000000002</v>
      </c>
      <c r="D49" s="3">
        <v>1036.453</v>
      </c>
      <c r="E49" s="3">
        <v>306.74700000000001</v>
      </c>
      <c r="F49" s="3">
        <v>85.995999999999995</v>
      </c>
      <c r="G49" s="3">
        <v>218.839</v>
      </c>
      <c r="H49" s="3">
        <v>275.93200000000002</v>
      </c>
    </row>
    <row r="50" spans="1:8" ht="15" customHeight="1" x14ac:dyDescent="0.15">
      <c r="A50" s="10" t="s">
        <v>99</v>
      </c>
      <c r="B50" s="10"/>
      <c r="C50" s="10"/>
      <c r="D50" s="10"/>
      <c r="E50" s="10"/>
      <c r="F50" s="10"/>
      <c r="G50" s="10"/>
      <c r="H50" s="10"/>
    </row>
    <row r="51" spans="1:8" ht="15" customHeight="1" outlineLevel="1" x14ac:dyDescent="0.15">
      <c r="A51" s="13" t="s">
        <v>98</v>
      </c>
      <c r="B51" s="22">
        <v>-3.7029999999999998</v>
      </c>
      <c r="C51" s="22">
        <v>-2.2269999999999999</v>
      </c>
      <c r="D51" s="3">
        <v>1.2589999999999999</v>
      </c>
      <c r="E51" s="22">
        <v>-3.9180000000000001</v>
      </c>
      <c r="F51" s="22">
        <v>-3.8849999999999998</v>
      </c>
      <c r="G51" s="3">
        <v>2.93</v>
      </c>
      <c r="H51" s="3">
        <v>6.0030000000000001</v>
      </c>
    </row>
    <row r="52" spans="1:8" ht="15" customHeight="1" outlineLevel="1" x14ac:dyDescent="0.15">
      <c r="A52" s="19" t="s">
        <v>97</v>
      </c>
      <c r="B52" s="6">
        <v>-3.3450000000000002</v>
      </c>
      <c r="C52" s="5">
        <v>135.12700000000001</v>
      </c>
      <c r="D52" s="5">
        <v>726.18399999999997</v>
      </c>
      <c r="E52" s="5">
        <v>238.768</v>
      </c>
      <c r="F52" s="5">
        <v>260.42099999999999</v>
      </c>
      <c r="G52" s="6">
        <v>-1777.2280000000001</v>
      </c>
      <c r="H52" s="6">
        <v>-273.43</v>
      </c>
    </row>
    <row r="53" spans="1:8" ht="15" customHeight="1" outlineLevel="1" x14ac:dyDescent="0.15">
      <c r="A53" s="9" t="s">
        <v>96</v>
      </c>
      <c r="B53" s="8">
        <v>-54.415999999999997</v>
      </c>
      <c r="C53" s="8">
        <v>-178.31100000000001</v>
      </c>
      <c r="D53" s="8">
        <v>-308.84399999999999</v>
      </c>
      <c r="E53" s="8">
        <v>321.22399999999999</v>
      </c>
      <c r="F53" s="8">
        <v>183.71</v>
      </c>
      <c r="G53" s="8">
        <v>697.06899999999996</v>
      </c>
      <c r="H53" s="8">
        <v>980.322</v>
      </c>
    </row>
    <row r="54" spans="1:8" ht="15" customHeight="1" outlineLevel="2" x14ac:dyDescent="0.15">
      <c r="A54" s="7" t="s">
        <v>95</v>
      </c>
      <c r="B54" s="6">
        <v>-3.1515000000000001E-2</v>
      </c>
      <c r="C54" s="6">
        <v>-0.103268</v>
      </c>
      <c r="D54" s="6">
        <v>-0.17233299999999999</v>
      </c>
      <c r="E54" s="5">
        <v>0.16699</v>
      </c>
      <c r="F54" s="5">
        <v>8.9015999999999998E-2</v>
      </c>
      <c r="G54" s="5">
        <v>0.30334699999999998</v>
      </c>
      <c r="H54" s="5">
        <v>0.39857100000000001</v>
      </c>
    </row>
    <row r="55" spans="1:8" ht="15" customHeight="1" outlineLevel="2" x14ac:dyDescent="0.15">
      <c r="A55" s="4" t="s">
        <v>94</v>
      </c>
      <c r="B55" s="11"/>
      <c r="C55" s="11"/>
      <c r="D55" s="73">
        <v>-0.73177300000000001</v>
      </c>
      <c r="E55" s="12">
        <v>0.91702099999999998</v>
      </c>
      <c r="F55" s="12">
        <v>1.386538</v>
      </c>
      <c r="G55" s="12">
        <v>1.766726</v>
      </c>
      <c r="H55" s="12">
        <v>1.071429</v>
      </c>
    </row>
    <row r="56" spans="1:8" ht="15" customHeight="1" x14ac:dyDescent="0.15">
      <c r="A56" s="2" t="s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91A3-7301-49AD-B4C9-7590947DBB63}">
  <sheetPr>
    <outlinePr summaryBelow="0" summaryRight="0"/>
  </sheetPr>
  <dimension ref="A1:K49"/>
  <sheetViews>
    <sheetView workbookViewId="0"/>
  </sheetViews>
  <sheetFormatPr baseColWidth="10" defaultColWidth="9.1640625" defaultRowHeight="15" customHeight="1" outlineLevelRow="3" x14ac:dyDescent="0.15"/>
  <cols>
    <col min="1" max="1" width="54.5" style="1" customWidth="1"/>
    <col min="2" max="2" width="7.83203125" style="1" customWidth="1"/>
    <col min="3" max="4" width="8" style="1" customWidth="1"/>
    <col min="5" max="5" width="8.5" style="1" customWidth="1"/>
    <col min="6" max="6" width="7.83203125" style="1" customWidth="1"/>
    <col min="7" max="8" width="8" style="1" customWidth="1"/>
    <col min="9" max="9" width="8.5" style="1" customWidth="1"/>
    <col min="10" max="10" width="7.83203125" style="1" customWidth="1"/>
    <col min="11" max="11" width="8" style="1" customWidth="1"/>
    <col min="12" max="16384" width="9.1640625" style="1"/>
  </cols>
  <sheetData>
    <row r="1" spans="1:11" ht="15" customHeight="1" x14ac:dyDescent="0.15">
      <c r="A1" s="31" t="s">
        <v>56</v>
      </c>
    </row>
    <row r="2" spans="1:11" ht="15" customHeight="1" x14ac:dyDescent="0.15">
      <c r="A2" s="30" t="s">
        <v>137</v>
      </c>
    </row>
    <row r="3" spans="1:11" ht="15" customHeight="1" x14ac:dyDescent="0.1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</row>
    <row r="5" spans="1:11" ht="15" customHeight="1" x14ac:dyDescent="0.15">
      <c r="A5" s="28" t="s">
        <v>54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15" customHeight="1" x14ac:dyDescent="0.15">
      <c r="A6" s="28" t="s">
        <v>53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5" customHeight="1" x14ac:dyDescent="0.15">
      <c r="A7" s="28" t="s">
        <v>52</v>
      </c>
      <c r="B7" s="28"/>
      <c r="C7" s="28"/>
      <c r="D7" s="28"/>
      <c r="E7" s="28"/>
      <c r="F7" s="28"/>
      <c r="G7" s="28"/>
      <c r="H7" s="28"/>
      <c r="I7" s="28"/>
      <c r="J7" s="28"/>
      <c r="K7" s="28"/>
    </row>
    <row r="8" spans="1:11" ht="15" customHeight="1" x14ac:dyDescent="0.15">
      <c r="A8" s="28"/>
      <c r="B8" s="28" t="s">
        <v>63</v>
      </c>
      <c r="C8" s="28" t="s">
        <v>62</v>
      </c>
      <c r="D8" s="28" t="s">
        <v>47</v>
      </c>
      <c r="E8" s="28" t="s">
        <v>61</v>
      </c>
      <c r="F8" s="28" t="s">
        <v>60</v>
      </c>
      <c r="G8" s="28" t="s">
        <v>59</v>
      </c>
      <c r="H8" s="28" t="s">
        <v>46</v>
      </c>
      <c r="I8" s="28" t="s">
        <v>58</v>
      </c>
      <c r="J8" s="28" t="s">
        <v>57</v>
      </c>
      <c r="K8" s="28" t="s">
        <v>45</v>
      </c>
    </row>
    <row r="9" spans="1:11" ht="15" customHeight="1" x14ac:dyDescent="0.15">
      <c r="A9" s="20" t="s">
        <v>135</v>
      </c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ht="15" customHeight="1" outlineLevel="1" x14ac:dyDescent="0.15">
      <c r="A10" s="19" t="s">
        <v>134</v>
      </c>
      <c r="B10" s="18">
        <v>-179.32900000000001</v>
      </c>
      <c r="C10" s="18">
        <v>-123.875</v>
      </c>
      <c r="D10" s="14">
        <v>33.488999999999997</v>
      </c>
      <c r="E10" s="14">
        <v>19.151</v>
      </c>
      <c r="F10" s="14">
        <v>27.872</v>
      </c>
      <c r="G10" s="14">
        <v>73.438999999999993</v>
      </c>
      <c r="H10" s="14">
        <v>96.912999999999997</v>
      </c>
      <c r="I10" s="14">
        <v>106.071</v>
      </c>
      <c r="J10" s="14">
        <v>135.57</v>
      </c>
      <c r="K10" s="14">
        <v>149.34100000000001</v>
      </c>
    </row>
    <row r="11" spans="1:11" ht="15" customHeight="1" outlineLevel="1" x14ac:dyDescent="0.15">
      <c r="A11" s="9" t="s">
        <v>133</v>
      </c>
      <c r="B11" s="17">
        <v>4.8949999999999996</v>
      </c>
      <c r="C11" s="17">
        <v>5.9420000000000002</v>
      </c>
      <c r="D11" s="17">
        <v>7.3730000000000002</v>
      </c>
      <c r="E11" s="17">
        <v>8.32</v>
      </c>
      <c r="F11" s="17">
        <v>8.3989999999999991</v>
      </c>
      <c r="G11" s="17">
        <v>8.6630000000000003</v>
      </c>
      <c r="H11" s="17">
        <v>7.9720000000000004</v>
      </c>
      <c r="I11" s="17">
        <v>8.4380000000000006</v>
      </c>
      <c r="J11" s="17">
        <v>8.0559999999999992</v>
      </c>
      <c r="K11" s="17">
        <v>8.0869999999999997</v>
      </c>
    </row>
    <row r="12" spans="1:11" ht="15" customHeight="1" outlineLevel="2" x14ac:dyDescent="0.15">
      <c r="A12" s="7" t="s">
        <v>132</v>
      </c>
      <c r="B12" s="14">
        <v>4.8949999999999996</v>
      </c>
      <c r="C12" s="14">
        <v>5.9420000000000002</v>
      </c>
      <c r="D12" s="14">
        <v>7.3730000000000002</v>
      </c>
      <c r="E12" s="14">
        <v>8.32</v>
      </c>
      <c r="F12" s="14">
        <v>8.3989999999999991</v>
      </c>
      <c r="G12" s="14">
        <v>8.6630000000000003</v>
      </c>
      <c r="H12" s="14">
        <v>7.9720000000000004</v>
      </c>
      <c r="I12" s="14">
        <v>8.4380000000000006</v>
      </c>
      <c r="J12" s="14">
        <v>8.0559999999999992</v>
      </c>
      <c r="K12" s="14">
        <v>1.706</v>
      </c>
    </row>
    <row r="13" spans="1:11" ht="15" customHeight="1" outlineLevel="1" x14ac:dyDescent="0.15">
      <c r="A13" s="9" t="s">
        <v>131</v>
      </c>
      <c r="B13" s="17">
        <v>-1.0999999999999999E-2</v>
      </c>
      <c r="C13" s="17">
        <v>-1.7000000000000001E-2</v>
      </c>
      <c r="D13" s="17">
        <v>-0.14299999999999999</v>
      </c>
      <c r="E13" s="17">
        <v>0</v>
      </c>
      <c r="F13" s="17">
        <v>0</v>
      </c>
      <c r="G13" s="17">
        <v>0</v>
      </c>
      <c r="H13" s="17">
        <v>-4.806</v>
      </c>
      <c r="I13" s="17">
        <v>0</v>
      </c>
      <c r="J13" s="17">
        <v>0</v>
      </c>
      <c r="K13" s="17">
        <v>0</v>
      </c>
    </row>
    <row r="14" spans="1:11" ht="15" customHeight="1" outlineLevel="2" x14ac:dyDescent="0.15">
      <c r="A14" s="7" t="s">
        <v>130</v>
      </c>
      <c r="B14" s="18">
        <v>-1.0999999999999999E-2</v>
      </c>
      <c r="C14" s="18">
        <v>-1.7000000000000001E-2</v>
      </c>
      <c r="D14" s="18">
        <v>-0.14299999999999999</v>
      </c>
      <c r="E14" s="14">
        <v>0</v>
      </c>
      <c r="F14" s="14">
        <v>0</v>
      </c>
      <c r="G14" s="14">
        <v>0</v>
      </c>
      <c r="H14" s="18">
        <v>-4.806</v>
      </c>
      <c r="I14" s="14">
        <v>0</v>
      </c>
      <c r="J14" s="14">
        <v>0</v>
      </c>
      <c r="K14" s="14">
        <v>0</v>
      </c>
    </row>
    <row r="15" spans="1:11" ht="15" customHeight="1" outlineLevel="1" x14ac:dyDescent="0.15">
      <c r="A15" s="13" t="s">
        <v>103</v>
      </c>
      <c r="B15" s="12">
        <v>293.44400000000002</v>
      </c>
      <c r="C15" s="12">
        <v>215.59299999999999</v>
      </c>
      <c r="D15" s="12">
        <v>110.992</v>
      </c>
      <c r="E15" s="12">
        <v>111.88</v>
      </c>
      <c r="F15" s="12">
        <v>112.854</v>
      </c>
      <c r="G15" s="12">
        <v>117.001</v>
      </c>
      <c r="H15" s="12">
        <v>118.289</v>
      </c>
      <c r="I15" s="12">
        <v>131.69</v>
      </c>
      <c r="J15" s="12">
        <v>140.63399999999999</v>
      </c>
      <c r="K15" s="12">
        <v>179.904</v>
      </c>
    </row>
    <row r="16" spans="1:11" ht="15" customHeight="1" outlineLevel="1" x14ac:dyDescent="0.15">
      <c r="A16" s="19" t="s">
        <v>129</v>
      </c>
      <c r="B16" s="14">
        <v>118.999</v>
      </c>
      <c r="C16" s="14">
        <v>97.643000000000001</v>
      </c>
      <c r="D16" s="14">
        <v>151.71100000000001</v>
      </c>
      <c r="E16" s="14">
        <v>150.18700000000001</v>
      </c>
      <c r="F16" s="14">
        <v>138.28899999999999</v>
      </c>
      <c r="G16" s="14">
        <v>199.10300000000001</v>
      </c>
      <c r="H16" s="14">
        <v>218.36799999999999</v>
      </c>
      <c r="I16" s="14">
        <v>246.19900000000001</v>
      </c>
      <c r="J16" s="14">
        <v>284.26</v>
      </c>
      <c r="K16" s="14">
        <v>337.33199999999999</v>
      </c>
    </row>
    <row r="17" spans="1:11" ht="15" customHeight="1" outlineLevel="1" x14ac:dyDescent="0.15">
      <c r="A17" s="9" t="s">
        <v>128</v>
      </c>
      <c r="B17" s="17">
        <v>-56.567999999999998</v>
      </c>
      <c r="C17" s="17">
        <v>-50.576999999999998</v>
      </c>
      <c r="D17" s="17">
        <v>-72.947999999999993</v>
      </c>
      <c r="E17" s="17">
        <v>37.189</v>
      </c>
      <c r="F17" s="17">
        <v>-48.097000000000001</v>
      </c>
      <c r="G17" s="17">
        <v>-65.66</v>
      </c>
      <c r="H17" s="17">
        <v>82.804000000000002</v>
      </c>
      <c r="I17" s="17">
        <v>-116.62</v>
      </c>
      <c r="J17" s="17">
        <v>-140.07300000000001</v>
      </c>
      <c r="K17" s="17">
        <v>82.44</v>
      </c>
    </row>
    <row r="18" spans="1:11" ht="15" customHeight="1" outlineLevel="2" x14ac:dyDescent="0.15">
      <c r="A18" s="7" t="s">
        <v>127</v>
      </c>
      <c r="B18" s="18">
        <v>-9.8719999999999999</v>
      </c>
      <c r="C18" s="18">
        <v>-78.852000000000004</v>
      </c>
      <c r="D18" s="14">
        <v>77.072000000000003</v>
      </c>
      <c r="E18" s="18">
        <v>-0.628</v>
      </c>
      <c r="F18" s="18">
        <v>-113.035</v>
      </c>
      <c r="G18" s="18">
        <v>-46.088999999999999</v>
      </c>
      <c r="H18" s="14">
        <v>53.593000000000004</v>
      </c>
      <c r="I18" s="18">
        <v>-121.884</v>
      </c>
      <c r="J18" s="18">
        <v>-176.42699999999999</v>
      </c>
      <c r="K18" s="18">
        <v>-13.388</v>
      </c>
    </row>
    <row r="19" spans="1:11" ht="15" customHeight="1" outlineLevel="2" x14ac:dyDescent="0.15">
      <c r="A19" s="4" t="s">
        <v>126</v>
      </c>
      <c r="B19" s="12">
        <v>27.419</v>
      </c>
      <c r="C19" s="12">
        <v>4.82</v>
      </c>
      <c r="D19" s="73">
        <v>-14.694000000000001</v>
      </c>
      <c r="E19" s="73">
        <v>-39.920999999999999</v>
      </c>
      <c r="F19" s="12">
        <v>0.86399999999999999</v>
      </c>
      <c r="G19" s="12">
        <v>6.67</v>
      </c>
      <c r="H19" s="12">
        <v>0.55500000000000005</v>
      </c>
      <c r="I19" s="12">
        <v>23.809000000000001</v>
      </c>
      <c r="J19" s="12">
        <v>29.562999999999999</v>
      </c>
      <c r="K19" s="73">
        <v>-45.661999999999999</v>
      </c>
    </row>
    <row r="20" spans="1:11" ht="15" customHeight="1" outlineLevel="2" x14ac:dyDescent="0.15">
      <c r="A20" s="7" t="s">
        <v>125</v>
      </c>
      <c r="B20" s="14">
        <v>34.183999999999997</v>
      </c>
      <c r="C20" s="18">
        <v>-29.678000000000001</v>
      </c>
      <c r="D20" s="14">
        <v>6.3550000000000004</v>
      </c>
      <c r="E20" s="14">
        <v>4.2709999999999999</v>
      </c>
      <c r="F20" s="14">
        <v>9.5090000000000003</v>
      </c>
      <c r="G20" s="18">
        <v>-11.228</v>
      </c>
      <c r="H20" s="14">
        <v>50.343000000000004</v>
      </c>
      <c r="I20" s="18">
        <v>-19.105</v>
      </c>
      <c r="J20" s="18">
        <v>-11.443</v>
      </c>
      <c r="K20" s="14">
        <v>72.697000000000003</v>
      </c>
    </row>
    <row r="21" spans="1:11" ht="15" customHeight="1" outlineLevel="2" x14ac:dyDescent="0.15">
      <c r="A21" s="4" t="s">
        <v>124</v>
      </c>
      <c r="B21" s="73">
        <v>-108.29900000000001</v>
      </c>
      <c r="C21" s="12">
        <v>53.133000000000003</v>
      </c>
      <c r="D21" s="73">
        <v>-141.68100000000001</v>
      </c>
      <c r="E21" s="12">
        <v>73.466999999999999</v>
      </c>
      <c r="F21" s="12">
        <v>54.564999999999998</v>
      </c>
      <c r="G21" s="73">
        <v>-15.013</v>
      </c>
      <c r="H21" s="73">
        <v>-21.687000000000001</v>
      </c>
      <c r="I21" s="12">
        <v>0.56000000000000005</v>
      </c>
      <c r="J21" s="12">
        <v>18.234000000000002</v>
      </c>
      <c r="K21" s="12">
        <v>68.793000000000006</v>
      </c>
    </row>
    <row r="22" spans="1:11" ht="15" customHeight="1" outlineLevel="1" x14ac:dyDescent="0.15">
      <c r="A22" s="19" t="s">
        <v>123</v>
      </c>
      <c r="B22" s="14">
        <v>62.430999999999997</v>
      </c>
      <c r="C22" s="14">
        <v>47.066000000000003</v>
      </c>
      <c r="D22" s="14">
        <v>78.763000000000005</v>
      </c>
      <c r="E22" s="14">
        <v>187.376</v>
      </c>
      <c r="F22" s="14">
        <v>90.191999999999993</v>
      </c>
      <c r="G22" s="14">
        <v>133.44300000000001</v>
      </c>
      <c r="H22" s="14">
        <v>301.17200000000003</v>
      </c>
      <c r="I22" s="14">
        <v>129.57900000000001</v>
      </c>
      <c r="J22" s="14">
        <v>144.18700000000001</v>
      </c>
      <c r="K22" s="14">
        <v>419.77199999999999</v>
      </c>
    </row>
    <row r="23" spans="1:11" ht="15" customHeight="1" x14ac:dyDescent="0.15">
      <c r="A23" s="20" t="s">
        <v>122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15" customHeight="1" outlineLevel="1" x14ac:dyDescent="0.15">
      <c r="A24" s="16" t="s">
        <v>121</v>
      </c>
      <c r="B24" s="21">
        <v>-5.4580000000000002</v>
      </c>
      <c r="C24" s="21">
        <v>-14.436</v>
      </c>
      <c r="D24" s="21">
        <v>-4.9180000000000001</v>
      </c>
      <c r="E24" s="21">
        <v>-4.7549999999999999</v>
      </c>
      <c r="F24" s="21">
        <v>-3.9340000000000002</v>
      </c>
      <c r="G24" s="21">
        <v>-1.5649999999999999</v>
      </c>
      <c r="H24" s="21">
        <v>-4.8600000000000003</v>
      </c>
      <c r="I24" s="21">
        <v>-2.6640000000000001</v>
      </c>
      <c r="J24" s="21">
        <v>-2.879</v>
      </c>
      <c r="K24" s="21">
        <v>-3.9849999999999999</v>
      </c>
    </row>
    <row r="25" spans="1:11" ht="15" customHeight="1" outlineLevel="2" x14ac:dyDescent="0.15">
      <c r="A25" s="4" t="s">
        <v>120</v>
      </c>
      <c r="B25" s="22">
        <v>-5.4580000000000002</v>
      </c>
      <c r="C25" s="22">
        <v>-14.436</v>
      </c>
      <c r="D25" s="22">
        <v>-4.9180000000000001</v>
      </c>
      <c r="E25" s="22">
        <v>-4.7549999999999999</v>
      </c>
      <c r="F25" s="22">
        <v>-3.9340000000000002</v>
      </c>
      <c r="G25" s="22">
        <v>-1.5649999999999999</v>
      </c>
      <c r="H25" s="22">
        <v>-4.8600000000000003</v>
      </c>
      <c r="I25" s="22">
        <v>-2.6640000000000001</v>
      </c>
      <c r="J25" s="22">
        <v>-2.879</v>
      </c>
      <c r="K25" s="22">
        <v>-3.9849999999999999</v>
      </c>
    </row>
    <row r="26" spans="1:11" ht="15" customHeight="1" outlineLevel="1" x14ac:dyDescent="0.15">
      <c r="A26" s="19" t="s">
        <v>119</v>
      </c>
      <c r="B26" s="5">
        <v>0</v>
      </c>
      <c r="C26" s="5">
        <v>0</v>
      </c>
      <c r="D26" s="5">
        <v>66.707999999999998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</row>
    <row r="27" spans="1:11" ht="15" customHeight="1" outlineLevel="1" x14ac:dyDescent="0.15">
      <c r="A27" s="9" t="s">
        <v>117</v>
      </c>
      <c r="B27" s="8">
        <v>10.762</v>
      </c>
      <c r="C27" s="8">
        <v>-12.907999999999999</v>
      </c>
      <c r="D27" s="8">
        <v>11.218</v>
      </c>
      <c r="E27" s="8">
        <v>-1549.836</v>
      </c>
      <c r="F27" s="8">
        <v>-387.16500000000002</v>
      </c>
      <c r="G27" s="8">
        <v>-194.69900000000001</v>
      </c>
      <c r="H27" s="8">
        <v>-564.36599999999999</v>
      </c>
      <c r="I27" s="8">
        <v>-508.58100000000002</v>
      </c>
      <c r="J27" s="8">
        <v>-141.999</v>
      </c>
      <c r="K27" s="8">
        <v>-316.74099999999999</v>
      </c>
    </row>
    <row r="28" spans="1:11" ht="15" customHeight="1" outlineLevel="2" x14ac:dyDescent="0.15">
      <c r="A28" s="7" t="s">
        <v>116</v>
      </c>
      <c r="B28" s="5">
        <v>0</v>
      </c>
      <c r="C28" s="5">
        <v>35</v>
      </c>
      <c r="D28" s="5">
        <v>0</v>
      </c>
      <c r="E28" s="5">
        <v>2310.3670000000002</v>
      </c>
      <c r="F28" s="5">
        <v>626.572</v>
      </c>
      <c r="G28" s="5">
        <v>1854.731</v>
      </c>
      <c r="H28" s="5">
        <v>844.73599999999999</v>
      </c>
      <c r="I28" s="5">
        <v>1260.327</v>
      </c>
      <c r="J28" s="5">
        <v>523.78800000000001</v>
      </c>
      <c r="K28" s="5">
        <v>1634.5840000000001</v>
      </c>
    </row>
    <row r="29" spans="1:11" ht="15" customHeight="1" outlineLevel="2" x14ac:dyDescent="0.15">
      <c r="A29" s="4" t="s">
        <v>115</v>
      </c>
      <c r="B29" s="3">
        <v>10.762</v>
      </c>
      <c r="C29" s="3">
        <v>22.091999999999999</v>
      </c>
      <c r="D29" s="3">
        <v>11.218</v>
      </c>
      <c r="E29" s="3">
        <v>760.53099999999995</v>
      </c>
      <c r="F29" s="3">
        <v>239.40700000000001</v>
      </c>
      <c r="G29" s="3">
        <v>1660.0319999999999</v>
      </c>
      <c r="H29" s="3">
        <v>280.37</v>
      </c>
      <c r="I29" s="3">
        <v>751.74599999999998</v>
      </c>
      <c r="J29" s="3">
        <v>381.78899999999999</v>
      </c>
      <c r="K29" s="3">
        <v>1317.8430000000001</v>
      </c>
    </row>
    <row r="30" spans="1:11" ht="15" customHeight="1" outlineLevel="1" x14ac:dyDescent="0.15">
      <c r="A30" s="16" t="s">
        <v>103</v>
      </c>
      <c r="B30" s="21">
        <v>0</v>
      </c>
      <c r="C30" s="21">
        <v>0</v>
      </c>
      <c r="D30" s="21">
        <v>7.2999999999999995E-2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-4</v>
      </c>
      <c r="K30" s="21">
        <v>0</v>
      </c>
    </row>
    <row r="31" spans="1:11" ht="15" customHeight="1" outlineLevel="2" x14ac:dyDescent="0.15">
      <c r="A31" s="4" t="s">
        <v>102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22">
        <v>-4</v>
      </c>
      <c r="K31" s="3">
        <v>0</v>
      </c>
    </row>
    <row r="32" spans="1:11" ht="15" customHeight="1" outlineLevel="2" x14ac:dyDescent="0.15">
      <c r="A32" s="7" t="s">
        <v>101</v>
      </c>
      <c r="B32" s="5">
        <v>0</v>
      </c>
      <c r="C32" s="5">
        <v>0</v>
      </c>
      <c r="D32" s="5">
        <v>7.2999999999999995E-2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ht="15" customHeight="1" outlineLevel="1" x14ac:dyDescent="0.15">
      <c r="A33" s="13" t="s">
        <v>114</v>
      </c>
      <c r="B33" s="3">
        <v>5.3040000000000003</v>
      </c>
      <c r="C33" s="22">
        <v>-27.344000000000001</v>
      </c>
      <c r="D33" s="3">
        <v>73.081000000000003</v>
      </c>
      <c r="E33" s="22">
        <v>-1554.5909999999999</v>
      </c>
      <c r="F33" s="22">
        <v>-391.09899999999999</v>
      </c>
      <c r="G33" s="22">
        <v>-196.26400000000001</v>
      </c>
      <c r="H33" s="22">
        <v>-569.226</v>
      </c>
      <c r="I33" s="22">
        <v>-511.245</v>
      </c>
      <c r="J33" s="22">
        <v>-148.87799999999999</v>
      </c>
      <c r="K33" s="22">
        <v>-320.726</v>
      </c>
    </row>
    <row r="34" spans="1:11" ht="15" customHeight="1" x14ac:dyDescent="0.15">
      <c r="A34" s="10" t="s">
        <v>113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" customHeight="1" outlineLevel="1" x14ac:dyDescent="0.15">
      <c r="A35" s="9" t="s">
        <v>112</v>
      </c>
      <c r="B35" s="17">
        <v>20.315999999999999</v>
      </c>
      <c r="C35" s="17">
        <v>24.567</v>
      </c>
      <c r="D35" s="17">
        <v>13.981</v>
      </c>
      <c r="E35" s="17">
        <v>25.923999999999999</v>
      </c>
      <c r="F35" s="17">
        <v>90.349000000000004</v>
      </c>
      <c r="G35" s="17">
        <v>50.555999999999997</v>
      </c>
      <c r="H35" s="17">
        <v>51.408999999999999</v>
      </c>
      <c r="I35" s="17">
        <v>74.84</v>
      </c>
      <c r="J35" s="17">
        <v>-1.669</v>
      </c>
      <c r="K35" s="17">
        <v>151.43799999999999</v>
      </c>
    </row>
    <row r="36" spans="1:11" ht="15" customHeight="1" outlineLevel="2" x14ac:dyDescent="0.15">
      <c r="A36" s="7" t="s">
        <v>111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8">
        <v>-9</v>
      </c>
      <c r="J36" s="18">
        <v>-17.699000000000002</v>
      </c>
      <c r="K36" s="18">
        <v>-18.899000000000001</v>
      </c>
    </row>
    <row r="37" spans="1:11" ht="15" customHeight="1" outlineLevel="2" x14ac:dyDescent="0.15">
      <c r="A37" s="27" t="s">
        <v>110</v>
      </c>
      <c r="B37" s="17">
        <v>20.315999999999999</v>
      </c>
      <c r="C37" s="17">
        <v>24.567</v>
      </c>
      <c r="D37" s="17">
        <v>13.981</v>
      </c>
      <c r="E37" s="17">
        <v>25.923999999999999</v>
      </c>
      <c r="F37" s="17">
        <v>90.349000000000004</v>
      </c>
      <c r="G37" s="17">
        <v>50.555999999999997</v>
      </c>
      <c r="H37" s="17">
        <v>51.408999999999999</v>
      </c>
      <c r="I37" s="17">
        <v>83.84</v>
      </c>
      <c r="J37" s="17">
        <v>16.03</v>
      </c>
      <c r="K37" s="17">
        <v>170.33699999999999</v>
      </c>
    </row>
    <row r="38" spans="1:11" ht="15" customHeight="1" outlineLevel="3" x14ac:dyDescent="0.15">
      <c r="A38" s="24" t="s">
        <v>108</v>
      </c>
      <c r="B38" s="14">
        <v>20.315999999999999</v>
      </c>
      <c r="C38" s="14">
        <v>24.567</v>
      </c>
      <c r="D38" s="14">
        <v>13.981</v>
      </c>
      <c r="E38" s="14">
        <v>25.923999999999999</v>
      </c>
      <c r="F38" s="14">
        <v>90.349000000000004</v>
      </c>
      <c r="G38" s="14">
        <v>50.555999999999997</v>
      </c>
      <c r="H38" s="14">
        <v>51.408999999999999</v>
      </c>
      <c r="I38" s="14">
        <v>83.84</v>
      </c>
      <c r="J38" s="14">
        <v>16.03</v>
      </c>
      <c r="K38" s="14">
        <v>170.33699999999999</v>
      </c>
    </row>
    <row r="39" spans="1:11" ht="15" customHeight="1" outlineLevel="1" x14ac:dyDescent="0.15">
      <c r="A39" s="9" t="s">
        <v>103</v>
      </c>
      <c r="B39" s="17">
        <v>0.29099999999999998</v>
      </c>
      <c r="C39" s="17">
        <v>-0.57599999999999996</v>
      </c>
      <c r="D39" s="17">
        <v>0.17599999999999999</v>
      </c>
      <c r="E39" s="17">
        <v>5.8999999999999997E-2</v>
      </c>
      <c r="F39" s="17">
        <v>0.33500000000000002</v>
      </c>
      <c r="G39" s="17">
        <v>0.38400000000000001</v>
      </c>
      <c r="H39" s="17">
        <v>-0.17699999999999999</v>
      </c>
      <c r="I39" s="17">
        <v>0.40799999999999997</v>
      </c>
      <c r="J39" s="17">
        <v>-0.30599999999999999</v>
      </c>
      <c r="K39" s="17">
        <v>-1.0999999999999999E-2</v>
      </c>
    </row>
    <row r="40" spans="1:11" ht="15" customHeight="1" outlineLevel="2" x14ac:dyDescent="0.15">
      <c r="A40" s="7" t="s">
        <v>102</v>
      </c>
      <c r="B40" s="14">
        <v>0</v>
      </c>
      <c r="C40" s="18">
        <v>-0.26900000000000002</v>
      </c>
      <c r="D40" s="14">
        <v>0.17599999999999999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</row>
    <row r="41" spans="1:11" ht="15" customHeight="1" outlineLevel="2" x14ac:dyDescent="0.15">
      <c r="A41" s="4" t="s">
        <v>101</v>
      </c>
      <c r="B41" s="12">
        <v>0.29099999999999998</v>
      </c>
      <c r="C41" s="73">
        <v>-0.307</v>
      </c>
      <c r="D41" s="12">
        <v>0</v>
      </c>
      <c r="E41" s="12">
        <v>5.8999999999999997E-2</v>
      </c>
      <c r="F41" s="12">
        <v>0.33500000000000002</v>
      </c>
      <c r="G41" s="12">
        <v>0.38400000000000001</v>
      </c>
      <c r="H41" s="73">
        <v>-0.17699999999999999</v>
      </c>
      <c r="I41" s="12">
        <v>0.40799999999999997</v>
      </c>
      <c r="J41" s="73">
        <v>-0.30599999999999999</v>
      </c>
      <c r="K41" s="73">
        <v>-1.0999999999999999E-2</v>
      </c>
    </row>
    <row r="42" spans="1:11" ht="15" customHeight="1" outlineLevel="1" x14ac:dyDescent="0.15">
      <c r="A42" s="19" t="s">
        <v>100</v>
      </c>
      <c r="B42" s="14">
        <v>20.606999999999999</v>
      </c>
      <c r="C42" s="14">
        <v>23.991</v>
      </c>
      <c r="D42" s="14">
        <v>14.157</v>
      </c>
      <c r="E42" s="14">
        <v>25.983000000000001</v>
      </c>
      <c r="F42" s="14">
        <v>90.683999999999997</v>
      </c>
      <c r="G42" s="14">
        <v>50.94</v>
      </c>
      <c r="H42" s="14">
        <v>51.231999999999999</v>
      </c>
      <c r="I42" s="14">
        <v>75.248000000000005</v>
      </c>
      <c r="J42" s="18">
        <v>-1.9750000000000001</v>
      </c>
      <c r="K42" s="14">
        <v>151.42699999999999</v>
      </c>
    </row>
    <row r="43" spans="1:11" ht="15" customHeight="1" x14ac:dyDescent="0.15">
      <c r="A43" s="20" t="s">
        <v>99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ht="15" customHeight="1" outlineLevel="1" x14ac:dyDescent="0.15">
      <c r="A44" s="19" t="s">
        <v>98</v>
      </c>
      <c r="B44" s="6">
        <v>-5.6139999999999999</v>
      </c>
      <c r="C44" s="6">
        <v>-6.1289999999999996</v>
      </c>
      <c r="D44" s="5">
        <v>8.5850000000000009</v>
      </c>
      <c r="E44" s="5">
        <v>2.6760000000000002</v>
      </c>
      <c r="F44" s="6">
        <v>-4.5309999999999997</v>
      </c>
      <c r="G44" s="6">
        <v>-0.25800000000000001</v>
      </c>
      <c r="H44" s="5">
        <v>5.0430000000000001</v>
      </c>
      <c r="I44" s="6">
        <v>-4.024</v>
      </c>
      <c r="J44" s="6">
        <v>-0.92400000000000004</v>
      </c>
      <c r="K44" s="5">
        <v>5.9080000000000004</v>
      </c>
    </row>
    <row r="45" spans="1:11" ht="15" customHeight="1" outlineLevel="1" x14ac:dyDescent="0.15">
      <c r="A45" s="13" t="s">
        <v>97</v>
      </c>
      <c r="B45" s="3">
        <v>82.727999999999994</v>
      </c>
      <c r="C45" s="3">
        <v>37.584000000000003</v>
      </c>
      <c r="D45" s="3">
        <v>174.58600000000001</v>
      </c>
      <c r="E45" s="22">
        <v>-1338.556</v>
      </c>
      <c r="F45" s="22">
        <v>-214.75399999999999</v>
      </c>
      <c r="G45" s="22">
        <v>-12.138999999999999</v>
      </c>
      <c r="H45" s="22">
        <v>-211.779</v>
      </c>
      <c r="I45" s="22">
        <v>-310.44200000000001</v>
      </c>
      <c r="J45" s="22">
        <v>-7.59</v>
      </c>
      <c r="K45" s="3">
        <v>256.38099999999997</v>
      </c>
    </row>
    <row r="46" spans="1:11" ht="15" customHeight="1" outlineLevel="1" x14ac:dyDescent="0.15">
      <c r="A46" s="16" t="s">
        <v>96</v>
      </c>
      <c r="B46" s="21">
        <v>56.972999999999999</v>
      </c>
      <c r="C46" s="21">
        <v>32.630000000000003</v>
      </c>
      <c r="D46" s="21">
        <v>73.844999999999999</v>
      </c>
      <c r="E46" s="21">
        <v>182.62100000000001</v>
      </c>
      <c r="F46" s="21">
        <v>86.257999999999996</v>
      </c>
      <c r="G46" s="21">
        <v>131.87799999999999</v>
      </c>
      <c r="H46" s="21">
        <v>296.31200000000001</v>
      </c>
      <c r="I46" s="21">
        <v>126.91500000000001</v>
      </c>
      <c r="J46" s="21">
        <v>141.30799999999999</v>
      </c>
      <c r="K46" s="21">
        <v>415.78699999999998</v>
      </c>
    </row>
    <row r="47" spans="1:11" ht="15" customHeight="1" outlineLevel="2" x14ac:dyDescent="0.15">
      <c r="A47" s="4" t="s">
        <v>95</v>
      </c>
      <c r="B47" s="3">
        <v>2.7727000000000002E-2</v>
      </c>
      <c r="C47" s="3">
        <v>1.5737999999999999E-2</v>
      </c>
      <c r="D47" s="3">
        <v>3.3508999999999997E-2</v>
      </c>
      <c r="E47" s="3">
        <v>8.2357E-2</v>
      </c>
      <c r="F47" s="3">
        <v>3.7863000000000001E-2</v>
      </c>
      <c r="G47" s="3">
        <v>5.6707E-2</v>
      </c>
      <c r="H47" s="3">
        <v>0.12567600000000001</v>
      </c>
      <c r="I47" s="3">
        <v>5.2879000000000002E-2</v>
      </c>
      <c r="J47" s="3">
        <v>5.8520000000000003E-2</v>
      </c>
      <c r="K47" s="3">
        <v>0.169047</v>
      </c>
    </row>
    <row r="48" spans="1:11" ht="15" customHeight="1" outlineLevel="2" x14ac:dyDescent="0.15">
      <c r="A48" s="7" t="s">
        <v>94</v>
      </c>
      <c r="B48" s="14">
        <v>1.3963220000000001</v>
      </c>
      <c r="C48" s="14">
        <v>1.1714059999999999</v>
      </c>
      <c r="D48" s="14">
        <v>1.2984910000000001</v>
      </c>
      <c r="E48" s="14">
        <v>1.846946</v>
      </c>
      <c r="F48" s="14">
        <v>1.07477</v>
      </c>
      <c r="G48" s="14">
        <v>1.2754829999999999</v>
      </c>
      <c r="H48" s="14">
        <v>1.721905</v>
      </c>
      <c r="I48" s="14">
        <v>1.1613329999999999</v>
      </c>
      <c r="J48" s="14">
        <v>1.138595</v>
      </c>
      <c r="K48" s="14">
        <v>1.071429</v>
      </c>
    </row>
    <row r="49" spans="1:1" ht="15" customHeight="1" x14ac:dyDescent="0.15">
      <c r="A49" s="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DCF</vt:lpstr>
      <vt:lpstr>WACC</vt:lpstr>
      <vt:lpstr>Shares</vt:lpstr>
      <vt:lpstr>IS - Estimates</vt:lpstr>
      <vt:lpstr>IS - Annual</vt:lpstr>
      <vt:lpstr>IS - Quarterly</vt:lpstr>
      <vt:lpstr>CFS - Estimates</vt:lpstr>
      <vt:lpstr>CFS - Annual</vt:lpstr>
      <vt:lpstr>CFS - Quarterly</vt:lpstr>
      <vt:lpstr>dr</vt:lpstr>
      <vt:lpstr>DCF!Print_Area</vt:lpstr>
      <vt:lpstr>tg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Patmore, Archie</cp:lastModifiedBy>
  <dcterms:created xsi:type="dcterms:W3CDTF">2024-12-04T20:03:55Z</dcterms:created>
  <dcterms:modified xsi:type="dcterms:W3CDTF">2026-10-15T11:48:46Z</dcterms:modified>
</cp:coreProperties>
</file>